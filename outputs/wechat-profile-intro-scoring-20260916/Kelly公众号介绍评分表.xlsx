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17cca41c2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分表" sheetId="1" r:id="Rd62d9c2ffec145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%"/>
    <x:numFmt numFmtId="202" formatCode="0"/>
  </x:numFmts>
  <x:fonts count="7">
    <x:font>
      <x:sz val="11"/>
      <x:name val="Carlito"/>
    </x:font>
    <x:font>
      <x:b/>
      <x:sz val="16"/>
      <x:color rgb="FF252823"/>
      <x:name val="Arial"/>
    </x:font>
    <x:font>
      <x:b/>
      <x:sz val="10"/>
      <x:color rgb="FF4F6149"/>
      <x:name val="Arial"/>
    </x:font>
    <x:font>
      <x:sz val="10"/>
      <x:color rgb="FF252823"/>
      <x:name val="Arial"/>
    </x:font>
    <x:font>
      <x:b/>
      <x:sz val="10"/>
      <x:color rgb="FFFFFFFF"/>
      <x:name val="Arial"/>
    </x:font>
    <x:font>
      <x:b/>
      <x:sz val="10"/>
      <x:color rgb="FF252823"/>
      <x:name val="Arial"/>
    </x:font>
    <x:font>
      <x:sz val="9"/>
      <x:color rgb="FF5F665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52823"/>
      </x:patternFill>
    </x:fill>
    <x:fill>
      <x:patternFill patternType="solid">
        <x:fgColor rgb="FFFFF2CC"/>
      </x:patternFill>
    </x:fill>
    <x:fill>
      <x:patternFill patternType="solid">
        <x:fgColor rgb="FFE8EEE5"/>
      </x:patternFill>
    </x:fill>
    <x:fill>
      <x:patternFill patternType="solid">
        <x:fgColor rgb="FF4F6149"/>
      </x:patternFill>
    </x:fill>
    <x:fill>
      <x:patternFill patternType="solid">
        <x:fgColor rgb="FFFFF8E1"/>
      </x:patternFill>
    </x:fill>
  </x:fills>
  <x:borders count="2">
    <x:border/>
    <x:border>
      <x:bottom style="thin">
        <x:color rgb="FF65745E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1" fontId="5" fillId="3" borderId="0" xfId="0" applyNumberFormat="1" applyFont="1" applyFill="1" applyBorder="1"/>
    <x:xf numFmtId="201" fontId="5" fillId="3" borderId="0" xfId="0" applyNumberFormat="1" applyFont="1" applyFill="1" applyBorder="1" applyAlignment="1">
      <x:alignment horizontal="center"/>
    </x:xf>
    <x:xf numFmtId="201" fontId="5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1" fontId="2" fillId="4" borderId="0" xfId="0" applyNumberFormat="1" applyFont="1" applyFill="1" applyBorder="1"/>
    <x:xf numFmtId="201" fontId="2" fillId="4" borderId="0" xfId="0" applyNumberFormat="1" applyFont="1" applyFill="1" applyBorder="1" applyAlignment="1">
      <x:alignment horizontal="center"/>
    </x:xf>
    <x:xf numFmtId="201" fontId="2" fillId="4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/>
    <x:xf numFmtId="202" fontId="3" fillId="6" borderId="0" xfId="0" applyNumberFormat="1" applyFont="1" applyFill="1" applyBorder="1"/>
    <x:xf numFmtId="202" fontId="3" fillId="6" borderId="0" xfId="0" applyNumberFormat="1" applyFont="1" applyFill="1" applyBorder="1" applyAlignment="1">
      <x:alignment horizontal="center"/>
    </x:xf>
    <x:xf numFmtId="202" fontId="3" fillId="6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200" fontId="2" fillId="4" borderId="0" xfId="0" applyNumberFormat="1" applyFont="1" applyFill="1" applyBorder="1" applyAlignment="1">
      <x:alignment horizontal="center" vertical="center"/>
    </x:xf>
    <x:xf numFmtId="202" fontId="2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dd6ee6c6f42dc" /><Relationship Type="http://schemas.openxmlformats.org/officeDocument/2006/relationships/theme" Target="/xl/theme/theme1.xml" Id="R971925203b1f40b7" /><Relationship Type="http://schemas.openxmlformats.org/officeDocument/2006/relationships/sharedStrings" Target="/xl/sharedStrings.xml" Id="R397458280c194fbc" /><Relationship Type="http://schemas.openxmlformats.org/officeDocument/2006/relationships/worksheet" Target="/xl/worksheets/sheet1.xml" Id="Rd62d9c2ffec145b5" /></Relationships>
</file>

<file path=xl/tables/table1.xml><?xml version="1.0" encoding="utf-8"?>
<x:table xmlns:x="http://schemas.openxmlformats.org/spreadsheetml/2006/main" id="1" name="WechatIntroScoringTable" displayName="WechatIntroScoringTable" ref="A9:N59" headerRowCount="1" totalsRowCount="0" totalsRowShown="0">
  <x:autoFilter ref="A9:N59"/>
  <x:tableColumns count="14">
    <x:tableColumn id="1" name="编号"/>
    <x:tableColumn id="2" name="路线"/>
    <x:tableColumn id="3" name="公众号介绍文案"/>
    <x:tableColumn id="4" name="清晰度"/>
    <x:tableColumn id="5" name="销售转化力"/>
    <x:tableColumn id="6" name="差异化"/>
    <x:tableColumn id="7" name="可信度"/>
    <x:tableColumn id="8" name="长期适用"/>
    <x:tableColumn id="9" name="简洁易记"/>
    <x:tableColumn id="10" name="加权总分"/>
    <x:tableColumn id="11" name="排名"/>
    <x:tableColumn id="12" name="优点"/>
    <x:tableColumn id="13" name="代价 / 风险"/>
    <x:tableColumn id="14" name="你的备注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95bfd00578434c" /></Relationships>
</file>

<file path=xl/worksheets/sheet1.xml><?xml version="1.0" encoding="utf-8"?>
<x:worksheet xmlns:x="http://schemas.openxmlformats.org/spreadsheetml/2006/main">
  <x:sheetPr>
    <x:tabColor rgb="FF65745E"/>
  </x:sheetPr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7" hidden="0" customWidth="1"/>
    <x:col min="2" max="2" width="14" hidden="0" customWidth="1"/>
    <x:col min="3" max="3" width="5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8" hidden="0" customWidth="1"/>
    <x:col min="12" max="12" width="28" hidden="0" customWidth="1"/>
    <x:col min="13" max="13" width="28" hidden="0" customWidth="1"/>
    <x:col min="14" max="14" width="24" hidden="0" customWidth="1"/>
  </x:cols>
  <x:sheetData>
    <x:row r="1">
      <x:c r="A1" s="43"/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</x:row>
    <x:row r="2" ht="27" customHeight="1">
      <x:c r="A2" s="44" t="str">
        <x:v>Kelly 公众号介绍评分表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</x:row>
    <x:row r="4" ht="24" customHeight="1">
      <x:c r="A4" s="46" t="str">
        <x:v>当前第 1 名</x:v>
      </x:c>
      <x:c r="B4" s="33" t="str">
        <x:f>INDEX($C$10:$C$59,MATCH(1,$K$10:$K$59,0))</x:f>
        <x:v>前喜茶创始 CTO Kelly，帮助企业完成 AI 与 Agent 落地。</x:v>
      </x:c>
      <x:c r="C4" s="43"/>
      <x:c r="D4" s="12" t="str">
        <x:v>清晰度</x:v>
      </x:c>
      <x:c r="E4" s="12" t="str">
        <x:v>销售转化力</x:v>
      </x:c>
      <x:c r="F4" s="12" t="str">
        <x:v>差异化</x:v>
      </x:c>
      <x:c r="G4" s="12" t="str">
        <x:v>可信度</x:v>
      </x:c>
      <x:c r="H4" s="12" t="str">
        <x:v>长期适用</x:v>
      </x:c>
      <x:c r="I4" s="12" t="str">
        <x:v>简洁易记</x:v>
      </x:c>
      <x:c r="J4" s="12" t="str">
        <x:v>权重合计</x:v>
      </x:c>
      <x:c r="K4" s="43"/>
      <x:c r="L4" s="43"/>
      <x:c r="M4" s="43"/>
      <x:c r="N4" s="43"/>
    </x:row>
    <x:row r="5" ht="24" customHeight="1">
      <x:c r="A5" s="46" t="str">
        <x:v>当前得分</x:v>
      </x:c>
      <x:c r="B5" s="47" t="n">
        <x:f>INDEX($J$10:$J$59,MATCH(1,$K$10:$K$59,0))</x:f>
        <x:v>9.05</x:v>
      </x:c>
      <x:c r="C5" s="43"/>
      <x:c r="D5" s="17" t="n">
        <x:v>0.2</x:v>
      </x:c>
      <x:c r="E5" s="17" t="n">
        <x:v>0.25</x:v>
      </x:c>
      <x:c r="F5" s="17" t="n">
        <x:v>0.15</x:v>
      </x:c>
      <x:c r="G5" s="17" t="n">
        <x:v>0.15</x:v>
      </x:c>
      <x:c r="H5" s="17" t="n">
        <x:v>0.15</x:v>
      </x:c>
      <x:c r="I5" s="17" t="n">
        <x:v>0.1</x:v>
      </x:c>
      <x:c r="J5" s="22" t="n">
        <x:f>SUM(D5:I5)</x:f>
        <x:v>1</x:v>
      </x:c>
      <x:c r="K5" s="43"/>
      <x:c r="L5" s="43"/>
      <x:c r="M5" s="43"/>
      <x:c r="N5" s="43"/>
    </x:row>
    <x:row r="6" ht="30" customHeight="1">
      <x:c r="A6" s="46" t="str">
        <x:v>评分范围</x:v>
      </x:c>
      <x:c r="B6" s="33" t="str">
        <x:v>0–10 分；10 分最强</x:v>
      </x:c>
      <x:c r="C6" s="43"/>
      <x:c r="D6" s="26" t="str">
        <x:v>客户能否一眼看懂</x:v>
      </x:c>
      <x:c r="E6" s="26" t="str">
        <x:v>是否促成咨询</x:v>
      </x:c>
      <x:c r="F6" s="26" t="str">
        <x:v>是否区别于普通 AI 顾问</x:v>
      </x:c>
      <x:c r="G6" s="26" t="str">
        <x:v>是否有证据支撑</x:v>
      </x:c>
      <x:c r="H6" s="26" t="str">
        <x:v>能否稳定使用 2–3 年</x:v>
      </x:c>
      <x:c r="I6" s="26" t="str">
        <x:v>是否短、顺口、好记</x:v>
      </x:c>
      <x:c r="J6" s="43"/>
      <x:c r="K6" s="43"/>
      <x:c r="L6" s="43"/>
      <x:c r="M6" s="43"/>
      <x:c r="N6" s="43"/>
    </x:row>
    <x:row r="7" ht="30" customHeight="1">
      <x:c r="A7" s="46" t="str">
        <x:v>使用方法</x:v>
      </x:c>
      <x:c r="B7" s="33" t="str">
        <x:v>修改黄色评分或权重，总分与排名会自动更新。</x:v>
      </x:c>
      <x:c r="C7" s="43"/>
      <x:c r="D7" s="26" t="str">
        <x:v>建议 20%</x:v>
      </x:c>
      <x:c r="E7" s="26" t="str">
        <x:v>建议 25%</x:v>
      </x:c>
      <x:c r="F7" s="26" t="str">
        <x:v>建议 15%</x:v>
      </x:c>
      <x:c r="G7" s="26" t="str">
        <x:v>建议 15%</x:v>
      </x:c>
      <x:c r="H7" s="26" t="str">
        <x:v>建议 15%</x:v>
      </x:c>
      <x:c r="I7" s="26" t="str">
        <x:v>建议 10%</x:v>
      </x:c>
      <x:c r="J7" s="43"/>
      <x:c r="K7" s="43"/>
      <x:c r="L7" s="43"/>
      <x:c r="M7" s="43"/>
      <x:c r="N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</x:row>
    <x:row r="9" ht="34" customHeight="1">
      <x:c r="A9" s="31" t="str">
        <x:v>编号</x:v>
      </x:c>
      <x:c r="B9" s="31" t="str">
        <x:v>路线</x:v>
      </x:c>
      <x:c r="C9" s="31" t="str">
        <x:v>公众号介绍文案</x:v>
      </x:c>
      <x:c r="D9" s="31" t="str">
        <x:v>清晰度</x:v>
      </x:c>
      <x:c r="E9" s="31" t="str">
        <x:v>销售转化力</x:v>
      </x:c>
      <x:c r="F9" s="31" t="str">
        <x:v>差异化</x:v>
      </x:c>
      <x:c r="G9" s="31" t="str">
        <x:v>可信度</x:v>
      </x:c>
      <x:c r="H9" s="31" t="str">
        <x:v>长期适用</x:v>
      </x:c>
      <x:c r="I9" s="31" t="str">
        <x:v>简洁易记</x:v>
      </x:c>
      <x:c r="J9" s="31" t="str">
        <x:v>加权总分</x:v>
      </x:c>
      <x:c r="K9" s="31" t="str">
        <x:v>排名</x:v>
      </x:c>
      <x:c r="L9" s="31" t="str">
        <x:v>优点</x:v>
      </x:c>
      <x:c r="M9" s="31" t="str">
        <x:v>代价 / 风险</x:v>
      </x:c>
      <x:c r="N9" s="31" t="str">
        <x:v>你的备注</x:v>
      </x:c>
    </x:row>
    <x:row r="10" ht="42" customHeight="1">
      <x:c r="A10" s="32" t="n">
        <x:v>1</x:v>
      </x:c>
      <x:c r="B10" s="32" t="str">
        <x:v>结果导向</x:v>
      </x:c>
      <x:c r="C10" s="33" t="str">
        <x:v>帮企业把 AI 从工具带进真实业务，搭建数字员工、工作流程与团队能力。</x:v>
      </x:c>
      <x:c r="D10" s="37" t="n">
        <x:v>10</x:v>
      </x:c>
      <x:c r="E10" s="37" t="n">
        <x:v>9</x:v>
      </x:c>
      <x:c r="F10" s="37" t="n">
        <x:v>8</x:v>
      </x:c>
      <x:c r="G10" s="37" t="n">
        <x:v>8</x:v>
      </x:c>
      <x:c r="H10" s="37" t="n">
        <x:v>10</x:v>
      </x:c>
      <x:c r="I10" s="37" t="n">
        <x:v>8</x:v>
      </x:c>
      <x:c r="J10" s="41" t="n">
        <x:f>IF(COUNT(D10:I10)=0,"",SUMPRODUCT(D10:I10,$D$5:$I$5)/SUM($D$5:$I$5))</x:f>
        <x:v>8.950000000000001</x:v>
      </x:c>
      <x:c r="K10" s="42" t="n">
        <x:f>IF(J10="","",RANK(J10,$J$10:$J$59,0))</x:f>
        <x:v>2</x:v>
      </x:c>
      <x:c r="L10" s="33" t="str">
        <x:v>最完整、容易理解</x:v>
      </x:c>
      <x:c r="M10" s="33" t="str">
        <x:v>Kelly 个人优势不突出</x:v>
      </x:c>
      <x:c r="N10" s="33" t="str"/>
    </x:row>
    <x:row r="11" ht="42" customHeight="1">
      <x:c r="A11" s="32" t="n">
        <x:v>2</x:v>
      </x:c>
      <x:c r="B11" s="32" t="str">
        <x:v>结果导向</x:v>
      </x:c>
      <x:c r="C11" s="33" t="str">
        <x:v>让 AI 从认知进入业务，从工具成为可执行的组织能力。</x:v>
      </x:c>
      <x:c r="D11" s="37" t="n">
        <x:v>8</x:v>
      </x:c>
      <x:c r="E11" s="37" t="n">
        <x:v>7</x:v>
      </x:c>
      <x:c r="F11" s="37" t="n">
        <x:v>8</x:v>
      </x:c>
      <x:c r="G11" s="37" t="n">
        <x:v>8</x:v>
      </x:c>
      <x:c r="H11" s="37" t="n">
        <x:v>10</x:v>
      </x:c>
      <x:c r="I11" s="37" t="n">
        <x:v>9</x:v>
      </x:c>
      <x:c r="J11" s="41" t="n">
        <x:f>IF(COUNT(D11:I11)=0,"",SUMPRODUCT(D11:I11,$D$5:$I$5)/SUM($D$5:$I$5))</x:f>
        <x:v>8.15</x:v>
      </x:c>
      <x:c r="K11" s="42" t="n">
        <x:f>IF(J11="","",RANK(J11,$J$10:$J$59,0))</x:f>
        <x:v>33</x:v>
      </x:c>
      <x:c r="L11" s="33" t="str">
        <x:v>品牌感强、适合长期使用</x:v>
      </x:c>
      <x:c r="M11" s="33" t="str">
        <x:v>服务内容不够具体</x:v>
      </x:c>
      <x:c r="N11" s="33" t="str"/>
    </x:row>
    <x:row r="12" ht="42" customHeight="1">
      <x:c r="A12" s="32" t="n">
        <x:v>3</x:v>
      </x:c>
      <x:c r="B12" s="32" t="str">
        <x:v>结果导向</x:v>
      </x:c>
      <x:c r="C12" s="33" t="str">
        <x:v>从一个真实场景开始，把 AI 做成可运行、可验收的业务能力。</x:v>
      </x:c>
      <x:c r="D12" s="37" t="n">
        <x:v>9</x:v>
      </x:c>
      <x:c r="E12" s="37" t="n">
        <x:v>8</x:v>
      </x:c>
      <x:c r="F12" s="37" t="n">
        <x:v>8</x:v>
      </x:c>
      <x:c r="G12" s="37" t="n">
        <x:v>9</x:v>
      </x:c>
      <x:c r="H12" s="37" t="n">
        <x:v>10</x:v>
      </x:c>
      <x:c r="I12" s="37" t="n">
        <x:v>8</x:v>
      </x:c>
      <x:c r="J12" s="41" t="n">
        <x:f>IF(COUNT(D12:I12)=0,"",SUMPRODUCT(D12:I12,$D$5:$I$5)/SUM($D$5:$I$5))</x:f>
        <x:v>8.65</x:v>
      </x:c>
      <x:c r="K12" s="42" t="n">
        <x:f>IF(J12="","",RANK(J12,$J$10:$J$59,0))</x:f>
        <x:v>6</x:v>
      </x:c>
      <x:c r="L12" s="33" t="str">
        <x:v>克制可信，方法明确</x:v>
      </x:c>
      <x:c r="M12" s="33" t="str">
        <x:v>销售冲击力稍弱</x:v>
      </x:c>
      <x:c r="N12" s="33" t="str"/>
    </x:row>
    <x:row r="13" ht="42" customHeight="1">
      <x:c r="A13" s="32" t="n">
        <x:v>4</x:v>
      </x:c>
      <x:c r="B13" s="32" t="str">
        <x:v>结果导向</x:v>
      </x:c>
      <x:c r="C13" s="33" t="str">
        <x:v>企业 AI 落地服务：找场景、搭 Agent、进流程、验结果。</x:v>
      </x:c>
      <x:c r="D13" s="37" t="n">
        <x:v>10</x:v>
      </x:c>
      <x:c r="E13" s="37" t="n">
        <x:v>9</x:v>
      </x:c>
      <x:c r="F13" s="37" t="n">
        <x:v>7</x:v>
      </x:c>
      <x:c r="G13" s="37" t="n">
        <x:v>8</x:v>
      </x:c>
      <x:c r="H13" s="37" t="n">
        <x:v>9</x:v>
      </x:c>
      <x:c r="I13" s="37" t="n">
        <x:v>9</x:v>
      </x:c>
      <x:c r="J13" s="41" t="n">
        <x:f>IF(COUNT(D13:I13)=0,"",SUMPRODUCT(D13:I13,$D$5:$I$5)/SUM($D$5:$I$5))</x:f>
        <x:v>8.75</x:v>
      </x:c>
      <x:c r="K13" s="42" t="n">
        <x:f>IF(J13="","",RANK(J13,$J$10:$J$59,0))</x:f>
        <x:v>3</x:v>
      </x:c>
      <x:c r="L13" s="33" t="str">
        <x:v>极清晰、有行动感</x:v>
      </x:c>
      <x:c r="M13" s="33" t="str">
        <x:v>稍像咨询公司</x:v>
      </x:c>
      <x:c r="N13" s="33" t="str"/>
    </x:row>
    <x:row r="14" ht="42" customHeight="1">
      <x:c r="A14" s="32" t="n">
        <x:v>5</x:v>
      </x:c>
      <x:c r="B14" s="32" t="str">
        <x:v>结果导向</x:v>
      </x:c>
      <x:c r="C14" s="33" t="str">
        <x:v>帮企业部署真正参与工作的 AI Agent，而不只是演示 Demo。</x:v>
      </x:c>
      <x:c r="D14" s="37" t="n">
        <x:v>8</x:v>
      </x:c>
      <x:c r="E14" s="37" t="n">
        <x:v>9</x:v>
      </x:c>
      <x:c r="F14" s="37" t="n">
        <x:v>9</x:v>
      </x:c>
      <x:c r="G14" s="37" t="n">
        <x:v>8</x:v>
      </x:c>
      <x:c r="H14" s="37" t="n">
        <x:v>8</x:v>
      </x:c>
      <x:c r="I14" s="37" t="n">
        <x:v>8</x:v>
      </x:c>
      <x:c r="J14" s="41" t="n">
        <x:f>IF(COUNT(D14:I14)=0,"",SUMPRODUCT(D14:I14,$D$5:$I$5)/SUM($D$5:$I$5))</x:f>
        <x:v>8.4</x:v>
      </x:c>
      <x:c r="K14" s="42" t="n">
        <x:f>IF(J14="","",RANK(J14,$J$10:$J$59,0))</x:f>
        <x:v>15</x:v>
      </x:c>
      <x:c r="L14" s="33" t="str">
        <x:v>差异鲜明、直接卖服务</x:v>
      </x:c>
      <x:c r="M14" s="33" t="str">
        <x:v>对不熟悉 Agent 的人略技术化</x:v>
      </x:c>
      <x:c r="N14" s="33" t="str"/>
    </x:row>
    <x:row r="15" ht="42" customHeight="1">
      <x:c r="A15" s="32" t="n">
        <x:v>6</x:v>
      </x:c>
      <x:c r="B15" s="32" t="str">
        <x:v>结果导向</x:v>
      </x:c>
      <x:c r="C15" s="33" t="str">
        <x:v>把 AI Agent 接进真实工作流程，交付看得见、验得过的业务结果。</x:v>
      </x:c>
      <x:c r="D15" s="37" t="n">
        <x:v>9</x:v>
      </x:c>
      <x:c r="E15" s="37" t="n">
        <x:v>9</x:v>
      </x:c>
      <x:c r="F15" s="37" t="n">
        <x:v>8</x:v>
      </x:c>
      <x:c r="G15" s="37" t="n">
        <x:v>8</x:v>
      </x:c>
      <x:c r="H15" s="37" t="n">
        <x:v>8</x:v>
      </x:c>
      <x:c r="I15" s="37" t="n">
        <x:v>8</x:v>
      </x:c>
      <x:c r="J15" s="41" t="n">
        <x:f>IF(COUNT(D15:I15)=0,"",SUMPRODUCT(D15:I15,$D$5:$I$5)/SUM($D$5:$I$5))</x:f>
        <x:v>8.450000000000001</x:v>
      </x:c>
      <x:c r="K15" s="42" t="n">
        <x:f>IF(J15="","",RANK(J15,$J$10:$J$59,0))</x:f>
        <x:v>12</x:v>
      </x:c>
      <x:c r="L15" s="33" t="str">
        <x:v>强调结果与验收</x:v>
      </x:c>
      <x:c r="M15" s="33" t="str">
        <x:v>没覆盖培训和 CAIO</x:v>
      </x:c>
      <x:c r="N15" s="33" t="str"/>
    </x:row>
    <x:row r="16" ht="42" customHeight="1">
      <x:c r="A16" s="32" t="n">
        <x:v>7</x:v>
      </x:c>
      <x:c r="B16" s="32" t="str">
        <x:v>结果导向</x:v>
      </x:c>
      <x:c r="C16" s="33" t="str">
        <x:v>企业 AI 不止要能用，还要进入流程、产生结果、沉淀资产。</x:v>
      </x:c>
      <x:c r="D16" s="37" t="n">
        <x:v>8</x:v>
      </x:c>
      <x:c r="E16" s="37" t="n">
        <x:v>8</x:v>
      </x:c>
      <x:c r="F16" s="37" t="n">
        <x:v>8</x:v>
      </x:c>
      <x:c r="G16" s="37" t="n">
        <x:v>8</x:v>
      </x:c>
      <x:c r="H16" s="37" t="n">
        <x:v>9</x:v>
      </x:c>
      <x:c r="I16" s="37" t="n">
        <x:v>7</x:v>
      </x:c>
      <x:c r="J16" s="41" t="n">
        <x:f>IF(COUNT(D16:I16)=0,"",SUMPRODUCT(D16:I16,$D$5:$I$5)/SUM($D$5:$I$5))</x:f>
        <x:v>8.049999999999999</x:v>
      </x:c>
      <x:c r="K16" s="42" t="n">
        <x:f>IF(J16="","",RANK(J16,$J$10:$J$59,0))</x:f>
        <x:v>43</x:v>
      </x:c>
      <x:c r="L16" s="33" t="str">
        <x:v>有完整转型逻辑</x:v>
      </x:c>
      <x:c r="M16" s="33" t="str">
        <x:v>句子略抽象</x:v>
      </x:c>
      <x:c r="N16" s="33" t="str"/>
    </x:row>
    <x:row r="17" ht="42" customHeight="1">
      <x:c r="A17" s="32" t="n">
        <x:v>8</x:v>
      </x:c>
      <x:c r="B17" s="32" t="str">
        <x:v>结果导向</x:v>
      </x:c>
      <x:c r="C17" s="33" t="str">
        <x:v>从 AI 培训到数字员工落地，帮助企业形成可持续的 AI 能力。</x:v>
      </x:c>
      <x:c r="D17" s="37" t="n">
        <x:v>9</x:v>
      </x:c>
      <x:c r="E17" s="37" t="n">
        <x:v>8</x:v>
      </x:c>
      <x:c r="F17" s="37" t="n">
        <x:v>7</x:v>
      </x:c>
      <x:c r="G17" s="37" t="n">
        <x:v>8</x:v>
      </x:c>
      <x:c r="H17" s="37" t="n">
        <x:v>9</x:v>
      </x:c>
      <x:c r="I17" s="37" t="n">
        <x:v>7</x:v>
      </x:c>
      <x:c r="J17" s="41" t="n">
        <x:f>IF(COUNT(D17:I17)=0,"",SUMPRODUCT(D17:I17,$D$5:$I$5)/SUM($D$5:$I$5))</x:f>
        <x:v>8.1</x:v>
      </x:c>
      <x:c r="K17" s="42" t="n">
        <x:f>IF(J17="","",RANK(J17,$J$10:$J$59,0))</x:f>
        <x:v>38</x:v>
      </x:c>
      <x:c r="L17" s="33" t="str">
        <x:v>服务范围清楚</x:v>
      </x:c>
      <x:c r="M17" s="33" t="str">
        <x:v>容易显得服务过宽</x:v>
      </x:c>
      <x:c r="N17" s="33" t="str"/>
    </x:row>
    <x:row r="18" ht="42" customHeight="1">
      <x:c r="A18" s="32" t="n">
        <x:v>9</x:v>
      </x:c>
      <x:c r="B18" s="32" t="str">
        <x:v>结果导向</x:v>
      </x:c>
      <x:c r="C18" s="33" t="str">
        <x:v>帮管理层选对 AI 场景，带团队做出第一个可验收成果。</x:v>
      </x:c>
      <x:c r="D18" s="37" t="n">
        <x:v>9</x:v>
      </x:c>
      <x:c r="E18" s="37" t="n">
        <x:v>9</x:v>
      </x:c>
      <x:c r="F18" s="37" t="n">
        <x:v>8</x:v>
      </x:c>
      <x:c r="G18" s="37" t="n">
        <x:v>8</x:v>
      </x:c>
      <x:c r="H18" s="37" t="n">
        <x:v>9</x:v>
      </x:c>
      <x:c r="I18" s="37" t="n">
        <x:v>8</x:v>
      </x:c>
      <x:c r="J18" s="41" t="n">
        <x:f>IF(COUNT(D18:I18)=0,"",SUMPRODUCT(D18:I18,$D$5:$I$5)/SUM($D$5:$I$5))</x:f>
        <x:v>8.6</x:v>
      </x:c>
      <x:c r="K18" s="42" t="n">
        <x:f>IF(J18="","",RANK(J18,$J$10:$J$59,0))</x:f>
        <x:v>10</x:v>
      </x:c>
      <x:c r="L18" s="33" t="str">
        <x:v>非常适合决策者</x:v>
      </x:c>
      <x:c r="M18" s="33" t="str">
        <x:v>看起来偏早期咨询</x:v>
      </x:c>
      <x:c r="N18" s="33" t="str"/>
    </x:row>
    <x:row r="19" ht="42" customHeight="1">
      <x:c r="A19" s="32" t="n">
        <x:v>10</x:v>
      </x:c>
      <x:c r="B19" s="32" t="str">
        <x:v>结果导向</x:v>
      </x:c>
      <x:c r="C19" s="33" t="str">
        <x:v>Kelly AI：让每个 AI 项目都有目标、负责人、流程和验收结果。</x:v>
      </x:c>
      <x:c r="D19" s="37" t="n">
        <x:v>9</x:v>
      </x:c>
      <x:c r="E19" s="37" t="n">
        <x:v>8</x:v>
      </x:c>
      <x:c r="F19" s="37" t="n">
        <x:v>8</x:v>
      </x:c>
      <x:c r="G19" s="37" t="n">
        <x:v>8</x:v>
      </x:c>
      <x:c r="H19" s="37" t="n">
        <x:v>10</x:v>
      </x:c>
      <x:c r="I19" s="37" t="n">
        <x:v>8</x:v>
      </x:c>
      <x:c r="J19" s="41" t="n">
        <x:f>IF(COUNT(D19:I19)=0,"",SUMPRODUCT(D19:I19,$D$5:$I$5)/SUM($D$5:$I$5))</x:f>
        <x:v>8.5</x:v>
      </x:c>
      <x:c r="K19" s="42" t="n">
        <x:f>IF(J19="","",RANK(J19,$J$10:$J$59,0))</x:f>
        <x:v>11</x:v>
      </x:c>
      <x:c r="L19" s="33" t="str">
        <x:v>管理方法很鲜明</x:v>
      </x:c>
      <x:c r="M19" s="33" t="str">
        <x:v>部署服务感较弱</x:v>
      </x:c>
      <x:c r="N19" s="33" t="str"/>
    </x:row>
    <x:row r="20" ht="42" customHeight="1">
      <x:c r="A20" s="32" t="n">
        <x:v>11</x:v>
      </x:c>
      <x:c r="B20" s="32" t="str">
        <x:v>痛点导向</x:v>
      </x:c>
      <x:c r="C20" s="33" t="str">
        <x:v>买了很多 AI 工具，却没有业务结果？我们负责把结果做出来。</x:v>
      </x:c>
      <x:c r="D20" s="37" t="n">
        <x:v>10</x:v>
      </x:c>
      <x:c r="E20" s="37" t="n">
        <x:v>9</x:v>
      </x:c>
      <x:c r="F20" s="37" t="n">
        <x:v>8</x:v>
      </x:c>
      <x:c r="G20" s="37" t="n">
        <x:v>7</x:v>
      </x:c>
      <x:c r="H20" s="37" t="n">
        <x:v>7</x:v>
      </x:c>
      <x:c r="I20" s="37" t="n">
        <x:v>9</x:v>
      </x:c>
      <x:c r="J20" s="41" t="n">
        <x:f>IF(COUNT(D20:I20)=0,"",SUMPRODUCT(D20:I20,$D$5:$I$5)/SUM($D$5:$I$5))</x:f>
        <x:v>8.45</x:v>
      </x:c>
      <x:c r="K20" s="42" t="n">
        <x:f>IF(J20="","",RANK(J20,$J$10:$J$59,0))</x:f>
        <x:v>14</x:v>
      </x:c>
      <x:c r="L20" s="33" t="str">
        <x:v>痛点强、容易吸引询盘</x:v>
      </x:c>
      <x:c r="M20" s="33" t="str">
        <x:v>语气稍具攻击性</x:v>
      </x:c>
      <x:c r="N20" s="33" t="str"/>
    </x:row>
    <x:row r="21" ht="42" customHeight="1">
      <x:c r="A21" s="32" t="n">
        <x:v>12</x:v>
      </x:c>
      <x:c r="B21" s="32" t="str">
        <x:v>痛点导向</x:v>
      </x:c>
      <x:c r="C21" s="33" t="str">
        <x:v>AI 项目总停在 Demo？把 Agent 真正放进业务流程里。</x:v>
      </x:c>
      <x:c r="D21" s="37" t="n">
        <x:v>9</x:v>
      </x:c>
      <x:c r="E21" s="37" t="n">
        <x:v>9</x:v>
      </x:c>
      <x:c r="F21" s="37" t="n">
        <x:v>9</x:v>
      </x:c>
      <x:c r="G21" s="37" t="n">
        <x:v>7</x:v>
      </x:c>
      <x:c r="H21" s="37" t="n">
        <x:v>7</x:v>
      </x:c>
      <x:c r="I21" s="37" t="n">
        <x:v>9</x:v>
      </x:c>
      <x:c r="J21" s="41" t="n">
        <x:f>IF(COUNT(D21:I21)=0,"",SUMPRODUCT(D21:I21,$D$5:$I$5)/SUM($D$5:$I$5))</x:f>
        <x:v>8.399999999999999</x:v>
      </x:c>
      <x:c r="K21" s="42" t="n">
        <x:f>IF(J21="","",RANK(J21,$J$10:$J$59,0))</x:f>
        <x:v>18</x:v>
      </x:c>
      <x:c r="L21" s="33" t="str">
        <x:v>痛点具体、记忆点强</x:v>
      </x:c>
      <x:c r="M21" s="33" t="str">
        <x:v>受众局限于已有项目的企业</x:v>
      </x:c>
      <x:c r="N21" s="33" t="str"/>
    </x:row>
    <x:row r="22" ht="42" customHeight="1">
      <x:c r="A22" s="32" t="n">
        <x:v>13</x:v>
      </x:c>
      <x:c r="B22" s="32" t="str">
        <x:v>痛点导向</x:v>
      </x:c>
      <x:c r="C22" s="33" t="str">
        <x:v>不再零散试用 AI，建立一套可以持续运行的 Agent 工作系统。</x:v>
      </x:c>
      <x:c r="D22" s="37" t="n">
        <x:v>8</x:v>
      </x:c>
      <x:c r="E22" s="37" t="n">
        <x:v>8</x:v>
      </x:c>
      <x:c r="F22" s="37" t="n">
        <x:v>8</x:v>
      </x:c>
      <x:c r="G22" s="37" t="n">
        <x:v>8</x:v>
      </x:c>
      <x:c r="H22" s="37" t="n">
        <x:v>9</x:v>
      </x:c>
      <x:c r="I22" s="37" t="n">
        <x:v>8</x:v>
      </x:c>
      <x:c r="J22" s="41" t="n">
        <x:f>IF(COUNT(D22:I22)=0,"",SUMPRODUCT(D22:I22,$D$5:$I$5)/SUM($D$5:$I$5))</x:f>
        <x:v>8.15</x:v>
      </x:c>
      <x:c r="K22" s="42" t="n">
        <x:f>IF(J22="","",RANK(J22,$J$10:$J$59,0))</x:f>
        <x:v>33</x:v>
      </x:c>
      <x:c r="L22" s="33" t="str">
        <x:v>击中企业普遍问题</x:v>
      </x:c>
      <x:c r="M22" s="33" t="str">
        <x:v>Agent 工作系统需要解释</x:v>
      </x:c>
      <x:c r="N22" s="33" t="str"/>
    </x:row>
    <x:row r="23" ht="42" customHeight="1">
      <x:c r="A23" s="32" t="n">
        <x:v>14</x:v>
      </x:c>
      <x:c r="B23" s="32" t="str">
        <x:v>痛点导向</x:v>
      </x:c>
      <x:c r="C23" s="33" t="str">
        <x:v>解决企业 AI 落地断层：从管理层目标一直做到团队执行。</x:v>
      </x:c>
      <x:c r="D23" s="37" t="n">
        <x:v>9</x:v>
      </x:c>
      <x:c r="E23" s="37" t="n">
        <x:v>8</x:v>
      </x:c>
      <x:c r="F23" s="37" t="n">
        <x:v>8</x:v>
      </x:c>
      <x:c r="G23" s="37" t="n">
        <x:v>8</x:v>
      </x:c>
      <x:c r="H23" s="37" t="n">
        <x:v>9</x:v>
      </x:c>
      <x:c r="I23" s="37" t="n">
        <x:v>8</x:v>
      </x:c>
      <x:c r="J23" s="41" t="n">
        <x:f>IF(COUNT(D23:I23)=0,"",SUMPRODUCT(D23:I23,$D$5:$I$5)/SUM($D$5:$I$5))</x:f>
        <x:v>8.35</x:v>
      </x:c>
      <x:c r="K23" s="42" t="n">
        <x:f>IF(J23="","",RANK(J23,$J$10:$J$59,0))</x:f>
        <x:v>21</x:v>
      </x:c>
      <x:c r="L23" s="33" t="str">
        <x:v>适合 CAIO Office</x:v>
      </x:c>
      <x:c r="M23" s="33" t="str">
        <x:v>具体交付不明显</x:v>
      </x:c>
      <x:c r="N23" s="33" t="str"/>
    </x:row>
    <x:row r="24" ht="42" customHeight="1">
      <x:c r="A24" s="32" t="n">
        <x:v>15</x:v>
      </x:c>
      <x:c r="B24" s="32" t="str">
        <x:v>痛点导向</x:v>
      </x:c>
      <x:c r="C24" s="33" t="str">
        <x:v>AI 工具越来越多，结果却没有变多。Kelly 帮你重建工作流程。</x:v>
      </x:c>
      <x:c r="D24" s="37" t="n">
        <x:v>9</x:v>
      </x:c>
      <x:c r="E24" s="37" t="n">
        <x:v>8</x:v>
      </x:c>
      <x:c r="F24" s="37" t="n">
        <x:v>9</x:v>
      </x:c>
      <x:c r="G24" s="37" t="n">
        <x:v>8</x:v>
      </x:c>
      <x:c r="H24" s="37" t="n">
        <x:v>8</x:v>
      </x:c>
      <x:c r="I24" s="37" t="n">
        <x:v>8</x:v>
      </x:c>
      <x:c r="J24" s="41" t="n">
        <x:f>IF(COUNT(D24:I24)=0,"",SUMPRODUCT(D24:I24,$D$5:$I$5)/SUM($D$5:$I$5))</x:f>
        <x:v>8.35</x:v>
      </x:c>
      <x:c r="K24" s="42" t="n">
        <x:f>IF(J24="","",RANK(J24,$J$10:$J$59,0))</x:f>
        <x:v>21</x:v>
      </x:c>
      <x:c r="L24" s="33" t="str">
        <x:v>有洞察、容易引发共鸣</x:v>
      </x:c>
      <x:c r="M24" s="33" t="str">
        <x:v>没明确说提供部署</x:v>
      </x:c>
      <x:c r="N24" s="33" t="str"/>
    </x:row>
    <x:row r="25" ht="42" customHeight="1">
      <x:c r="A25" s="32" t="n">
        <x:v>16</x:v>
      </x:c>
      <x:c r="B25" s="32" t="str">
        <x:v>痛点导向</x:v>
      </x:c>
      <x:c r="C25" s="33" t="str">
        <x:v>企业缺的不是更多 AI 工具，而是一个把结果逼出来的人。</x:v>
      </x:c>
      <x:c r="D25" s="37" t="n">
        <x:v>9</x:v>
      </x:c>
      <x:c r="E25" s="37" t="n">
        <x:v>9</x:v>
      </x:c>
      <x:c r="F25" s="37" t="n">
        <x:v>10</x:v>
      </x:c>
      <x:c r="G25" s="37" t="n">
        <x:v>7</x:v>
      </x:c>
      <x:c r="H25" s="37" t="n">
        <x:v>6</x:v>
      </x:c>
      <x:c r="I25" s="37" t="n">
        <x:v>9</x:v>
      </x:c>
      <x:c r="J25" s="41" t="n">
        <x:f>IF(COUNT(D25:I25)=0,"",SUMPRODUCT(D25:I25,$D$5:$I$5)/SUM($D$5:$I$5))</x:f>
        <x:v>8.4</x:v>
      </x:c>
      <x:c r="K25" s="42" t="n">
        <x:f>IF(J25="","",RANK(J25,$J$10:$J$59,0))</x:f>
        <x:v>15</x:v>
      </x:c>
      <x:c r="L25" s="33" t="str">
        <x:v>个性强、个人品牌鲜明</x:v>
      </x:c>
      <x:c r="M25" s="33" t="str">
        <x:v>“逼”字对部分客户过强</x:v>
      </x:c>
      <x:c r="N25" s="33" t="str"/>
    </x:row>
    <x:row r="26" ht="42" customHeight="1">
      <x:c r="A26" s="32" t="n">
        <x:v>17</x:v>
      </x:c>
      <x:c r="B26" s="32" t="str">
        <x:v>痛点导向</x:v>
      </x:c>
      <x:c r="C26" s="33" t="str">
        <x:v>不卖一堆工具，从一个值得做的业务场景开始。</x:v>
      </x:c>
      <x:c r="D26" s="37" t="n">
        <x:v>8</x:v>
      </x:c>
      <x:c r="E26" s="37" t="n">
        <x:v>7</x:v>
      </x:c>
      <x:c r="F26" s="37" t="n">
        <x:v>9</x:v>
      </x:c>
      <x:c r="G26" s="37" t="n">
        <x:v>8</x:v>
      </x:c>
      <x:c r="H26" s="37" t="n">
        <x:v>9</x:v>
      </x:c>
      <x:c r="I26" s="37" t="n">
        <x:v>9</x:v>
      </x:c>
      <x:c r="J26" s="41" t="n">
        <x:f>IF(COUNT(D26:I26)=0,"",SUMPRODUCT(D26:I26,$D$5:$I$5)/SUM($D$5:$I$5))</x:f>
        <x:v>8.15</x:v>
      </x:c>
      <x:c r="K26" s="42" t="n">
        <x:f>IF(J26="","",RANK(J26,$J$10:$J$59,0))</x:f>
        <x:v>33</x:v>
      </x:c>
      <x:c r="L26" s="33" t="str">
        <x:v>克制、有判断力</x:v>
      </x:c>
      <x:c r="M26" s="33" t="str">
        <x:v>单独看不知道最终卖什么</x:v>
      </x:c>
      <x:c r="N26" s="33" t="str"/>
    </x:row>
    <x:row r="27" ht="42" customHeight="1">
      <x:c r="A27" s="32" t="n">
        <x:v>18</x:v>
      </x:c>
      <x:c r="B27" s="32" t="str">
        <x:v>痛点导向</x:v>
      </x:c>
      <x:c r="C27" s="33" t="str">
        <x:v>别再问该买哪个 AI，先确定哪项业务结果值得改变。</x:v>
      </x:c>
      <x:c r="D27" s="37" t="n">
        <x:v>8</x:v>
      </x:c>
      <x:c r="E27" s="37" t="n">
        <x:v>7</x:v>
      </x:c>
      <x:c r="F27" s="37" t="n">
        <x:v>9</x:v>
      </x:c>
      <x:c r="G27" s="37" t="n">
        <x:v>8</x:v>
      </x:c>
      <x:c r="H27" s="37" t="n">
        <x:v>8</x:v>
      </x:c>
      <x:c r="I27" s="37" t="n">
        <x:v>9</x:v>
      </x:c>
      <x:c r="J27" s="41" t="n">
        <x:f>IF(COUNT(D27:I27)=0,"",SUMPRODUCT(D27:I27,$D$5:$I$5)/SUM($D$5:$I$5))</x:f>
        <x:v>8</x:v>
      </x:c>
      <x:c r="K27" s="42" t="n">
        <x:f>IF(J27="","",RANK(J27,$J$10:$J$59,0))</x:f>
        <x:v>44</x:v>
      </x:c>
      <x:c r="L27" s="33" t="str">
        <x:v>思想领导力强</x:v>
      </x:c>
      <x:c r="M27" s="33" t="str">
        <x:v>更像媒体账号，不像服务入口</x:v>
      </x:c>
      <x:c r="N27" s="33" t="str"/>
    </x:row>
    <x:row r="28" ht="42" customHeight="1">
      <x:c r="A28" s="32" t="n">
        <x:v>19</x:v>
      </x:c>
      <x:c r="B28" s="32" t="str">
        <x:v>痛点导向</x:v>
      </x:c>
      <x:c r="C28" s="33" t="str">
        <x:v>把散落在聊天记录里的 AI 尝试，变成企业可以复用的能力。</x:v>
      </x:c>
      <x:c r="D28" s="37" t="n">
        <x:v>9</x:v>
      </x:c>
      <x:c r="E28" s="37" t="n">
        <x:v>8</x:v>
      </x:c>
      <x:c r="F28" s="37" t="n">
        <x:v>9</x:v>
      </x:c>
      <x:c r="G28" s="37" t="n">
        <x:v>8</x:v>
      </x:c>
      <x:c r="H28" s="37" t="n">
        <x:v>8</x:v>
      </x:c>
      <x:c r="I28" s="37" t="n">
        <x:v>8</x:v>
      </x:c>
      <x:c r="J28" s="41" t="n">
        <x:f>IF(COUNT(D28:I28)=0,"",SUMPRODUCT(D28:I28,$D$5:$I$5)/SUM($D$5:$I$5))</x:f>
        <x:v>8.35</x:v>
      </x:c>
      <x:c r="K28" s="42" t="n">
        <x:f>IF(J28="","",RANK(J28,$J$10:$J$59,0))</x:f>
        <x:v>21</x:v>
      </x:c>
      <x:c r="L28" s="33" t="str">
        <x:v>击中知识沉淀问题</x:v>
      </x:c>
      <x:c r="M28" s="33" t="str">
        <x:v>偏向 AI 资产中枢</x:v>
      </x:c>
      <x:c r="N28" s="33" t="str"/>
    </x:row>
    <x:row r="29" ht="42" customHeight="1">
      <x:c r="A29" s="32" t="n">
        <x:v>20</x:v>
      </x:c>
      <x:c r="B29" s="32" t="str">
        <x:v>痛点导向</x:v>
      </x:c>
      <x:c r="C29" s="33" t="str">
        <x:v>AI 不是上线一个聊天框，而是重新设计任务、流程与验收。</x:v>
      </x:c>
      <x:c r="D29" s="37" t="n">
        <x:v>8</x:v>
      </x:c>
      <x:c r="E29" s="37" t="n">
        <x:v>8</x:v>
      </x:c>
      <x:c r="F29" s="37" t="n">
        <x:v>9</x:v>
      </x:c>
      <x:c r="G29" s="37" t="n">
        <x:v>8</x:v>
      </x:c>
      <x:c r="H29" s="37" t="n">
        <x:v>9</x:v>
      </x:c>
      <x:c r="I29" s="37" t="n">
        <x:v>8</x:v>
      </x:c>
      <x:c r="J29" s="41" t="n">
        <x:f>IF(COUNT(D29:I29)=0,"",SUMPRODUCT(D29:I29,$D$5:$I$5)/SUM($D$5:$I$5))</x:f>
        <x:v>8.3</x:v>
      </x:c>
      <x:c r="K29" s="42" t="n">
        <x:f>IF(J29="","",RANK(J29,$J$10:$J$59,0))</x:f>
        <x:v>25</x:v>
      </x:c>
      <x:c r="L29" s="33" t="str">
        <x:v>观点鲜明</x:v>
      </x:c>
      <x:c r="M29" s="33" t="str">
        <x:v>对初级客户略有门槛</x:v>
      </x:c>
      <x:c r="N29" s="33" t="str"/>
    </x:row>
    <x:row r="30" ht="42" customHeight="1">
      <x:c r="A30" s="32" t="n">
        <x:v>21</x:v>
      </x:c>
      <x:c r="B30" s="32" t="str">
        <x:v>履历背书</x:v>
      </x:c>
      <x:c r="C30" s="33" t="str">
        <x:v>前喜茶创始 CTO Kelly，帮助企业完成 AI 与 Agent 落地。</x:v>
      </x:c>
      <x:c r="D30" s="37" t="n">
        <x:v>10</x:v>
      </x:c>
      <x:c r="E30" s="37" t="n">
        <x:v>9</x:v>
      </x:c>
      <x:c r="F30" s="37" t="n">
        <x:v>9</x:v>
      </x:c>
      <x:c r="G30" s="37" t="n">
        <x:v>10</x:v>
      </x:c>
      <x:c r="H30" s="37" t="n">
        <x:v>7</x:v>
      </x:c>
      <x:c r="I30" s="37" t="n">
        <x:v>9</x:v>
      </x:c>
      <x:c r="J30" s="41" t="n">
        <x:f>IF(COUNT(D30:I30)=0,"",SUMPRODUCT(D30:I30,$D$5:$I$5)/SUM($D$5:$I$5))</x:f>
        <x:v>9.05</x:v>
      </x:c>
      <x:c r="K30" s="42" t="n">
        <x:f>IF(J30="","",RANK(J30,$J$10:$J$59,0))</x:f>
        <x:v>1</x:v>
      </x:c>
      <x:c r="L30" s="33" t="str">
        <x:v>信任建立最快</x:v>
      </x:c>
      <x:c r="M30" s="33" t="str">
        <x:v>容易过度依赖履历</x:v>
      </x:c>
      <x:c r="N30" s="33" t="str"/>
    </x:row>
    <x:row r="31" ht="42" customHeight="1">
      <x:c r="A31" s="32" t="n">
        <x:v>22</x:v>
      </x:c>
      <x:c r="B31" s="32" t="str">
        <x:v>履历背书</x:v>
      </x:c>
      <x:c r="C31" s="33" t="str">
        <x:v>Buda、Vika、AITable 创办人 Kelly 的企业 AI 落地服务。</x:v>
      </x:c>
      <x:c r="D31" s="37" t="n">
        <x:v>8</x:v>
      </x:c>
      <x:c r="E31" s="37" t="n">
        <x:v>8</x:v>
      </x:c>
      <x:c r="F31" s="37" t="n">
        <x:v>9</x:v>
      </x:c>
      <x:c r="G31" s="37" t="n">
        <x:v>9</x:v>
      </x:c>
      <x:c r="H31" s="37" t="n">
        <x:v>8</x:v>
      </x:c>
      <x:c r="I31" s="37" t="n">
        <x:v>8</x:v>
      </x:c>
      <x:c r="J31" s="41" t="n">
        <x:f>IF(COUNT(D31:I31)=0,"",SUMPRODUCT(D31:I31,$D$5:$I$5)/SUM($D$5:$I$5))</x:f>
        <x:v>8.3</x:v>
      </x:c>
      <x:c r="K31" s="42" t="n">
        <x:f>IF(J31="","",RANK(J31,$J$10:$J$59,0))</x:f>
        <x:v>25</x:v>
      </x:c>
      <x:c r="L31" s="33" t="str">
        <x:v>创业背书很强</x:v>
      </x:c>
      <x:c r="M31" s="33" t="str">
        <x:v>新客户未必认识这些品牌</x:v>
      </x:c>
      <x:c r="N31" s="33" t="str"/>
    </x:row>
    <x:row r="32" ht="42" customHeight="1">
      <x:c r="A32" s="32" t="n">
        <x:v>23</x:v>
      </x:c>
      <x:c r="B32" s="32" t="str">
        <x:v>履历背书</x:v>
      </x:c>
      <x:c r="C32" s="33" t="str">
        <x:v>每天运行 30+ Agents，把亲自跑通的方法带进企业。</x:v>
      </x:c>
      <x:c r="D32" s="37" t="n">
        <x:v>8</x:v>
      </x:c>
      <x:c r="E32" s="37" t="n">
        <x:v>8</x:v>
      </x:c>
      <x:c r="F32" s="37" t="n">
        <x:v>10</x:v>
      </x:c>
      <x:c r="G32" s="37" t="n">
        <x:v>9</x:v>
      </x:c>
      <x:c r="H32" s="37" t="n">
        <x:v>6</x:v>
      </x:c>
      <x:c r="I32" s="37" t="n">
        <x:v>9</x:v>
      </x:c>
      <x:c r="J32" s="41" t="n">
        <x:f>IF(COUNT(D32:I32)=0,"",SUMPRODUCT(D32:I32,$D$5:$I$5)/SUM($D$5:$I$5))</x:f>
        <x:v>8.25</x:v>
      </x:c>
      <x:c r="K32" s="42" t="n">
        <x:f>IF(J32="","",RANK(J32,$J$10:$J$59,0))</x:f>
        <x:v>30</x:v>
      </x:c>
      <x:c r="L32" s="33" t="str">
        <x:v>独特、有现场感</x:v>
      </x:c>
      <x:c r="M32" s="33" t="str">
        <x:v>数字未来变化时需要更新</x:v>
      </x:c>
      <x:c r="N32" s="33" t="str"/>
    </x:row>
    <x:row r="33" ht="42" customHeight="1">
      <x:c r="A33" s="32" t="n">
        <x:v>24</x:v>
      </x:c>
      <x:c r="B33" s="32" t="str">
        <x:v>履历背书</x:v>
      </x:c>
      <x:c r="C33" s="33" t="str">
        <x:v>不是只讲 AI 的顾问，而是仍在每天运行 Agent 的创业者。</x:v>
      </x:c>
      <x:c r="D33" s="37" t="n">
        <x:v>8</x:v>
      </x:c>
      <x:c r="E33" s="37" t="n">
        <x:v>8</x:v>
      </x:c>
      <x:c r="F33" s="37" t="n">
        <x:v>10</x:v>
      </x:c>
      <x:c r="G33" s="37" t="n">
        <x:v>9</x:v>
      </x:c>
      <x:c r="H33" s="37" t="n">
        <x:v>7</x:v>
      </x:c>
      <x:c r="I33" s="37" t="n">
        <x:v>8</x:v>
      </x:c>
      <x:c r="J33" s="41" t="n">
        <x:f>IF(COUNT(D33:I33)=0,"",SUMPRODUCT(D33:I33,$D$5:$I$5)/SUM($D$5:$I$5))</x:f>
        <x:v>8.299999999999999</x:v>
      </x:c>
      <x:c r="K33" s="42" t="n">
        <x:f>IF(J33="","",RANK(J33,$J$10:$J$59,0))</x:f>
        <x:v>28</x:v>
      </x:c>
      <x:c r="L33" s="33" t="str">
        <x:v>差异化很强</x:v>
      </x:c>
      <x:c r="M33" s="33" t="str">
        <x:v>带有对行业的比较意味</x:v>
      </x:c>
      <x:c r="N33" s="33" t="str"/>
    </x:row>
    <x:row r="34" ht="42" customHeight="1">
      <x:c r="A34" s="32" t="n">
        <x:v>25</x:v>
      </x:c>
      <x:c r="B34" s="32" t="str">
        <x:v>履历背书</x:v>
      </x:c>
      <x:c r="C34" s="33" t="str">
        <x:v>Kelly 陈霈霖｜前喜茶创始 CTO，企业 AI 转型与落地负责人。</x:v>
      </x:c>
      <x:c r="D34" s="37" t="n">
        <x:v>9</x:v>
      </x:c>
      <x:c r="E34" s="37" t="n">
        <x:v>8</x:v>
      </x:c>
      <x:c r="F34" s="37" t="n">
        <x:v>9</x:v>
      </x:c>
      <x:c r="G34" s="37" t="n">
        <x:v>10</x:v>
      </x:c>
      <x:c r="H34" s="37" t="n">
        <x:v>8</x:v>
      </x:c>
      <x:c r="I34" s="37" t="n">
        <x:v>8</x:v>
      </x:c>
      <x:c r="J34" s="41" t="n">
        <x:f>IF(COUNT(D34:I34)=0,"",SUMPRODUCT(D34:I34,$D$5:$I$5)/SUM($D$5:$I$5))</x:f>
        <x:v>8.65</x:v>
      </x:c>
      <x:c r="K34" s="42" t="n">
        <x:f>IF(J34="","",RANK(J34,$J$10:$J$59,0))</x:f>
        <x:v>6</x:v>
      </x:c>
      <x:c r="L34" s="33" t="str">
        <x:v>高端、适合大客户</x:v>
      </x:c>
      <x:c r="M34" s="33" t="str">
        <x:v>个人服务色彩较重</x:v>
      </x:c>
      <x:c r="N34" s="33" t="str"/>
    </x:row>
    <x:row r="35" ht="42" customHeight="1">
      <x:c r="A35" s="32" t="n">
        <x:v>26</x:v>
      </x:c>
      <x:c r="B35" s="32" t="str">
        <x:v>履历背书</x:v>
      </x:c>
      <x:c r="C35" s="33" t="str">
        <x:v>做过 3 万人企业数字化转型，现在帮助企业完成 AI 转型。</x:v>
      </x:c>
      <x:c r="D35" s="37" t="n">
        <x:v>9</x:v>
      </x:c>
      <x:c r="E35" s="37" t="n">
        <x:v>8</x:v>
      </x:c>
      <x:c r="F35" s="37" t="n">
        <x:v>9</x:v>
      </x:c>
      <x:c r="G35" s="37" t="n">
        <x:v>10</x:v>
      </x:c>
      <x:c r="H35" s="37" t="n">
        <x:v>8</x:v>
      </x:c>
      <x:c r="I35" s="37" t="n">
        <x:v>8</x:v>
      </x:c>
      <x:c r="J35" s="41" t="n">
        <x:f>IF(COUNT(D35:I35)=0,"",SUMPRODUCT(D35:I35,$D$5:$I$5)/SUM($D$5:$I$5))</x:f>
        <x:v>8.65</x:v>
      </x:c>
      <x:c r="K35" s="42" t="n">
        <x:f>IF(J35="","",RANK(J35,$J$10:$J$59,0))</x:f>
        <x:v>6</x:v>
      </x:c>
      <x:c r="L35" s="33" t="str">
        <x:v>大项目可信度高</x:v>
      </x:c>
      <x:c r="M35" s="33" t="str">
        <x:v>文字略像履历摘要</x:v>
      </x:c>
      <x:c r="N35" s="33" t="str"/>
    </x:row>
    <x:row r="36" ht="42" customHeight="1">
      <x:c r="A36" s="32" t="n">
        <x:v>27</x:v>
      </x:c>
      <x:c r="B36" s="32" t="str">
        <x:v>履历背书</x:v>
      </x:c>
      <x:c r="C36" s="33" t="str">
        <x:v>从零搭建过亿级用户产品，也帮企业从零搭建 AI 能力。</x:v>
      </x:c>
      <x:c r="D36" s="37" t="n">
        <x:v>8</x:v>
      </x:c>
      <x:c r="E36" s="37" t="n">
        <x:v>8</x:v>
      </x:c>
      <x:c r="F36" s="37" t="n">
        <x:v>9</x:v>
      </x:c>
      <x:c r="G36" s="37" t="n">
        <x:v>10</x:v>
      </x:c>
      <x:c r="H36" s="37" t="n">
        <x:v>8</x:v>
      </x:c>
      <x:c r="I36" s="37" t="n">
        <x:v>8</x:v>
      </x:c>
      <x:c r="J36" s="41" t="n">
        <x:f>IF(COUNT(D36:I36)=0,"",SUMPRODUCT(D36:I36,$D$5:$I$5)/SUM($D$5:$I$5))</x:f>
        <x:v>8.450000000000001</x:v>
      </x:c>
      <x:c r="K36" s="42" t="n">
        <x:f>IF(J36="","",RANK(J36,$J$10:$J$59,0))</x:f>
        <x:v>12</x:v>
      </x:c>
      <x:c r="L36" s="33" t="str">
        <x:v>成果背书强</x:v>
      </x:c>
      <x:c r="M36" s="33" t="str">
        <x:v>成果表述需始终保持证据一致</x:v>
      </x:c>
      <x:c r="N36" s="33" t="str"/>
    </x:row>
    <x:row r="37" ht="42" customHeight="1">
      <x:c r="A37" s="32" t="n">
        <x:v>28</x:v>
      </x:c>
      <x:c r="B37" s="32" t="str">
        <x:v>履历背书</x:v>
      </x:c>
      <x:c r="C37" s="33" t="str">
        <x:v>百万行级软件交付经验，加上每天真实运行的 Agent 组织。</x:v>
      </x:c>
      <x:c r="D37" s="37" t="n">
        <x:v>7</x:v>
      </x:c>
      <x:c r="E37" s="37" t="n">
        <x:v>7</x:v>
      </x:c>
      <x:c r="F37" s="37" t="n">
        <x:v>9</x:v>
      </x:c>
      <x:c r="G37" s="37" t="n">
        <x:v>10</x:v>
      </x:c>
      <x:c r="H37" s="37" t="n">
        <x:v>7</x:v>
      </x:c>
      <x:c r="I37" s="37" t="n">
        <x:v>7</x:v>
      </x:c>
      <x:c r="J37" s="41" t="n">
        <x:f>IF(COUNT(D37:I37)=0,"",SUMPRODUCT(D37:I37,$D$5:$I$5)/SUM($D$5:$I$5))</x:f>
        <x:v>7.75</x:v>
      </x:c>
      <x:c r="K37" s="42" t="n">
        <x:f>IF(J37="","",RANK(J37,$J$10:$J$59,0))</x:f>
        <x:v>47</x:v>
      </x:c>
      <x:c r="L37" s="33" t="str">
        <x:v>技术信任很强</x:v>
      </x:c>
      <x:c r="M37" s="33" t="str">
        <x:v>商务客户可能觉得太工程化</x:v>
      </x:c>
      <x:c r="N37" s="33" t="str"/>
    </x:row>
    <x:row r="38" ht="42" customHeight="1">
      <x:c r="A38" s="32" t="n">
        <x:v>29</x:v>
      </x:c>
      <x:c r="B38" s="32" t="str">
        <x:v>履历背书</x:v>
      </x:c>
      <x:c r="C38" s="33" t="str">
        <x:v>懂经营、产品和技术的 AI 落地负责人，陪团队把结果做出来。</x:v>
      </x:c>
      <x:c r="D38" s="37" t="n">
        <x:v>9</x:v>
      </x:c>
      <x:c r="E38" s="37" t="n">
        <x:v>8</x:v>
      </x:c>
      <x:c r="F38" s="37" t="n">
        <x:v>8</x:v>
      </x:c>
      <x:c r="G38" s="37" t="n">
        <x:v>8</x:v>
      </x:c>
      <x:c r="H38" s="37" t="n">
        <x:v>9</x:v>
      </x:c>
      <x:c r="I38" s="37" t="n">
        <x:v>8</x:v>
      </x:c>
      <x:c r="J38" s="41" t="n">
        <x:f>IF(COUNT(D38:I38)=0,"",SUMPRODUCT(D38:I38,$D$5:$I$5)/SUM($D$5:$I$5))</x:f>
        <x:v>8.35</x:v>
      </x:c>
      <x:c r="K38" s="42" t="n">
        <x:f>IF(J38="","",RANK(J38,$J$10:$J$59,0))</x:f>
        <x:v>21</x:v>
      </x:c>
      <x:c r="L38" s="33" t="str">
        <x:v>跨职能定位清楚</x:v>
      </x:c>
      <x:c r="M38" s="33" t="str">
        <x:v>缺乏可验证的具体证据</x:v>
      </x:c>
      <x:c r="N38" s="33" t="str"/>
    </x:row>
    <x:row r="39" ht="42" customHeight="1">
      <x:c r="A39" s="32" t="n">
        <x:v>30</x:v>
      </x:c>
      <x:c r="B39" s="32" t="str">
        <x:v>履历背书</x:v>
      </x:c>
      <x:c r="C39" s="33" t="str">
        <x:v>Kelly AI：从经营目标出发，带队部署、验收并运营 AI。</x:v>
      </x:c>
      <x:c r="D39" s="37" t="n">
        <x:v>9</x:v>
      </x:c>
      <x:c r="E39" s="37" t="n">
        <x:v>8</x:v>
      </x:c>
      <x:c r="F39" s="37" t="n">
        <x:v>9</x:v>
      </x:c>
      <x:c r="G39" s="37" t="n">
        <x:v>9</x:v>
      </x:c>
      <x:c r="H39" s="37" t="n">
        <x:v>9</x:v>
      </x:c>
      <x:c r="I39" s="37" t="n">
        <x:v>8</x:v>
      </x:c>
      <x:c r="J39" s="41" t="n">
        <x:f>IF(COUNT(D39:I39)=0,"",SUMPRODUCT(D39:I39,$D$5:$I$5)/SUM($D$5:$I$5))</x:f>
        <x:v>8.649999999999999</x:v>
      </x:c>
      <x:c r="K39" s="42" t="n">
        <x:f>IF(J39="","",RANK(J39,$J$10:$J$59,0))</x:f>
        <x:v>9</x:v>
      </x:c>
      <x:c r="L39" s="33" t="str">
        <x:v>高端且完整</x:v>
      </x:c>
      <x:c r="M39" s="33" t="str">
        <x:v>“运营 AI”对部分人稍陌生</x:v>
      </x:c>
      <x:c r="N39" s="33" t="str"/>
    </x:row>
    <x:row r="40" ht="42" customHeight="1">
      <x:c r="A40" s="32" t="n">
        <x:v>31</x:v>
      </x:c>
      <x:c r="B40" s="32" t="str">
        <x:v>服务菜单</x:v>
      </x:c>
      <x:c r="C40" s="33" t="str">
        <x:v>企业 AI 培训、CAIO Office、数字员工与 Vibe Coding 落地。</x:v>
      </x:c>
      <x:c r="D40" s="37" t="n">
        <x:v>9</x:v>
      </x:c>
      <x:c r="E40" s="37" t="n">
        <x:v>8</x:v>
      </x:c>
      <x:c r="F40" s="37" t="n">
        <x:v>6</x:v>
      </x:c>
      <x:c r="G40" s="37" t="n">
        <x:v>8</x:v>
      </x:c>
      <x:c r="H40" s="37" t="n">
        <x:v>7</x:v>
      </x:c>
      <x:c r="I40" s="37" t="n">
        <x:v>7</x:v>
      </x:c>
      <x:c r="J40" s="41" t="n">
        <x:f>IF(COUNT(D40:I40)=0,"",SUMPRODUCT(D40:I40,$D$5:$I$5)/SUM($D$5:$I$5))</x:f>
        <x:v>7.6499999999999995</x:v>
      </x:c>
      <x:c r="K40" s="42" t="n">
        <x:f>IF(J40="","",RANK(J40,$J$10:$J$59,0))</x:f>
        <x:v>48</x:v>
      </x:c>
      <x:c r="L40" s="33" t="str">
        <x:v>服务一眼看全</x:v>
      </x:c>
      <x:c r="M40" s="33" t="str">
        <x:v>像菜单，品牌记忆较弱</x:v>
      </x:c>
      <x:c r="N40" s="33" t="str"/>
    </x:row>
    <x:row r="41" ht="42" customHeight="1">
      <x:c r="A41" s="32" t="n">
        <x:v>32</x:v>
      </x:c>
      <x:c r="B41" s="32" t="str">
        <x:v>服务菜单</x:v>
      </x:c>
      <x:c r="C41" s="33" t="str">
        <x:v>企业 AI 落地一站式服务：咨询、培训、陪跑、部署与运营。</x:v>
      </x:c>
      <x:c r="D41" s="37" t="n">
        <x:v>10</x:v>
      </x:c>
      <x:c r="E41" s="37" t="n">
        <x:v>8</x:v>
      </x:c>
      <x:c r="F41" s="37" t="n">
        <x:v>5</x:v>
      </x:c>
      <x:c r="G41" s="37" t="n">
        <x:v>7</x:v>
      </x:c>
      <x:c r="H41" s="37" t="n">
        <x:v>8</x:v>
      </x:c>
      <x:c r="I41" s="37" t="n">
        <x:v>8</x:v>
      </x:c>
      <x:c r="J41" s="41" t="n">
        <x:f>IF(COUNT(D41:I41)=0,"",SUMPRODUCT(D41:I41,$D$5:$I$5)/SUM($D$5:$I$5))</x:f>
        <x:v>7.8</x:v>
      </x:c>
      <x:c r="K41" s="42" t="n">
        <x:f>IF(J41="","",RANK(J41,$J$10:$J$59,0))</x:f>
        <x:v>46</x:v>
      </x:c>
      <x:c r="L41" s="33" t="str">
        <x:v>搜索友好、直白</x:v>
      </x:c>
      <x:c r="M41" s="33" t="str">
        <x:v>“一站式”容易显得普通</x:v>
      </x:c>
      <x:c r="N41" s="33" t="str"/>
    </x:row>
    <x:row r="42" ht="42" customHeight="1">
      <x:c r="A42" s="32" t="n">
        <x:v>33</x:v>
      </x:c>
      <x:c r="B42" s="32" t="str">
        <x:v>服务菜单</x:v>
      </x:c>
      <x:c r="C42" s="33" t="str">
        <x:v>为企业搭建数字员工：一个 Agent、一条流程、一次真实验收。</x:v>
      </x:c>
      <x:c r="D42" s="37" t="n">
        <x:v>10</x:v>
      </x:c>
      <x:c r="E42" s="37" t="n">
        <x:v>9</x:v>
      </x:c>
      <x:c r="F42" s="37" t="n">
        <x:v>9</x:v>
      </x:c>
      <x:c r="G42" s="37" t="n">
        <x:v>8</x:v>
      </x:c>
      <x:c r="H42" s="37" t="n">
        <x:v>7</x:v>
      </x:c>
      <x:c r="I42" s="37" t="n">
        <x:v>9</x:v>
      </x:c>
      <x:c r="J42" s="41" t="n">
        <x:f>IF(COUNT(D42:I42)=0,"",SUMPRODUCT(D42:I42,$D$5:$I$5)/SUM($D$5:$I$5))</x:f>
        <x:v>8.75</x:v>
      </x:c>
      <x:c r="K42" s="42" t="n">
        <x:f>IF(J42="","",RANK(J42,$J$10:$J$59,0))</x:f>
        <x:v>3</x:v>
      </x:c>
      <x:c r="L42" s="33" t="str">
        <x:v>产品化程度最高</x:v>
      </x:c>
      <x:c r="M42" s="33" t="str">
        <x:v>会弱化其他高价服务</x:v>
      </x:c>
      <x:c r="N42" s="33" t="str"/>
    </x:row>
    <x:row r="43" ht="42" customHeight="1">
      <x:c r="A43" s="32" t="n">
        <x:v>34</x:v>
      </x:c>
      <x:c r="B43" s="32" t="str">
        <x:v>服务菜单</x:v>
      </x:c>
      <x:c r="C43" s="33" t="str">
        <x:v>从一个数字员工开始，跑通企业第一条 AI 业务流程。</x:v>
      </x:c>
      <x:c r="D43" s="37" t="n">
        <x:v>10</x:v>
      </x:c>
      <x:c r="E43" s="37" t="n">
        <x:v>9</x:v>
      </x:c>
      <x:c r="F43" s="37" t="n">
        <x:v>8</x:v>
      </x:c>
      <x:c r="G43" s="37" t="n">
        <x:v>8</x:v>
      </x:c>
      <x:c r="H43" s="37" t="n">
        <x:v>8</x:v>
      </x:c>
      <x:c r="I43" s="37" t="n">
        <x:v>9</x:v>
      </x:c>
      <x:c r="J43" s="41" t="n">
        <x:f>IF(COUNT(D43:I43)=0,"",SUMPRODUCT(D43:I43,$D$5:$I$5)/SUM($D$5:$I$5))</x:f>
        <x:v>8.75</x:v>
      </x:c>
      <x:c r="K43" s="42" t="n">
        <x:f>IF(J43="","",RANK(J43,$J$10:$J$59,0))</x:f>
        <x:v>3</x:v>
      </x:c>
      <x:c r="L43" s="33" t="str">
        <x:v>低门槛、容易成交</x:v>
      </x:c>
      <x:c r="M43" s="33" t="str">
        <x:v>容易被理解成小型自动化项目</x:v>
      </x:c>
      <x:c r="N43" s="33" t="str"/>
    </x:row>
    <x:row r="44" ht="42" customHeight="1">
      <x:c r="A44" s="32" t="n">
        <x:v>35</x:v>
      </x:c>
      <x:c r="B44" s="32" t="str">
        <x:v>服务菜单</x:v>
      </x:c>
      <x:c r="C44" s="33" t="str">
        <x:v>CAIO Office：每周确定优先级、带队执行、验收 AI 业务成果。</x:v>
      </x:c>
      <x:c r="D44" s="37" t="n">
        <x:v>9</x:v>
      </x:c>
      <x:c r="E44" s="37" t="n">
        <x:v>8</x:v>
      </x:c>
      <x:c r="F44" s="37" t="n">
        <x:v>9</x:v>
      </x:c>
      <x:c r="G44" s="37" t="n">
        <x:v>8</x:v>
      </x:c>
      <x:c r="H44" s="37" t="n">
        <x:v>7</x:v>
      </x:c>
      <x:c r="I44" s="37" t="n">
        <x:v>7</x:v>
      </x:c>
      <x:c r="J44" s="41" t="n">
        <x:f>IF(COUNT(D44:I44)=0,"",SUMPRODUCT(D44:I44,$D$5:$I$5)/SUM($D$5:$I$5))</x:f>
        <x:v>8.1</x:v>
      </x:c>
      <x:c r="K44" s="42" t="n">
        <x:f>IF(J44="","",RANK(J44,$J$10:$J$59,0))</x:f>
        <x:v>38</x:v>
      </x:c>
      <x:c r="L44" s="33" t="str">
        <x:v>高端服务定位清楚</x:v>
      </x:c>
      <x:c r="M44" s="33" t="str">
        <x:v>不适合同时推广培训产品</x:v>
      </x:c>
      <x:c r="N44" s="33" t="str"/>
    </x:row>
    <x:row r="45" ht="42" customHeight="1">
      <x:c r="A45" s="32" t="n">
        <x:v>36</x:v>
      </x:c>
      <x:c r="B45" s="32" t="str">
        <x:v>服务菜单</x:v>
      </x:c>
      <x:c r="C45" s="33" t="str">
        <x:v>企业 AI 转型执行办公室，持续把最重要的场景向前推进。</x:v>
      </x:c>
      <x:c r="D45" s="37" t="n">
        <x:v>8</x:v>
      </x:c>
      <x:c r="E45" s="37" t="n">
        <x:v>8</x:v>
      </x:c>
      <x:c r="F45" s="37" t="n">
        <x:v>9</x:v>
      </x:c>
      <x:c r="G45" s="37" t="n">
        <x:v>8</x:v>
      </x:c>
      <x:c r="H45" s="37" t="n">
        <x:v>8</x:v>
      </x:c>
      <x:c r="I45" s="37" t="n">
        <x:v>7</x:v>
      </x:c>
      <x:c r="J45" s="41" t="n">
        <x:f>IF(COUNT(D45:I45)=0,"",SUMPRODUCT(D45:I45,$D$5:$I$5)/SUM($D$5:$I$5))</x:f>
        <x:v>8.05</x:v>
      </x:c>
      <x:c r="K45" s="42" t="n">
        <x:f>IF(J45="","",RANK(J45,$J$10:$J$59,0))</x:f>
        <x:v>40</x:v>
      </x:c>
      <x:c r="L45" s="33" t="str">
        <x:v>有组织级价值</x:v>
      </x:c>
      <x:c r="M45" s="33" t="str">
        <x:v>初次接触者不懂 CAIO</x:v>
      </x:c>
      <x:c r="N45" s="33" t="str"/>
    </x:row>
    <x:row r="46" ht="42" customHeight="1">
      <x:c r="A46" s="32" t="n">
        <x:v>37</x:v>
      </x:c>
      <x:c r="B46" s="32" t="str">
        <x:v>服务菜单</x:v>
      </x:c>
      <x:c r="C46" s="33" t="str">
        <x:v>Vibe Coding 培训与项目陪跑，把原型做成能上线的产品。</x:v>
      </x:c>
      <x:c r="D46" s="37" t="n">
        <x:v>10</x:v>
      </x:c>
      <x:c r="E46" s="37" t="n">
        <x:v>8</x:v>
      </x:c>
      <x:c r="F46" s="37" t="n">
        <x:v>8</x:v>
      </x:c>
      <x:c r="G46" s="37" t="n">
        <x:v>8</x:v>
      </x:c>
      <x:c r="H46" s="37" t="n">
        <x:v>6</x:v>
      </x:c>
      <x:c r="I46" s="37" t="n">
        <x:v>8</x:v>
      </x:c>
      <x:c r="J46" s="41" t="n">
        <x:f>IF(COUNT(D46:I46)=0,"",SUMPRODUCT(D46:I46,$D$5:$I$5)/SUM($D$5:$I$5))</x:f>
        <x:v>8.100000000000001</x:v>
      </x:c>
      <x:c r="K46" s="42" t="n">
        <x:f>IF(J46="","",RANK(J46,$J$10:$J$59,0))</x:f>
        <x:v>37</x:v>
      </x:c>
      <x:c r="L46" s="33" t="str">
        <x:v>对研发客户非常精准</x:v>
      </x:c>
      <x:c r="M46" s="33" t="str">
        <x:v>非研发客户会直接离开</x:v>
      </x:c>
      <x:c r="N46" s="33" t="str"/>
    </x:row>
    <x:row r="47" ht="42" customHeight="1">
      <x:c r="A47" s="32" t="n">
        <x:v>38</x:v>
      </x:c>
      <x:c r="B47" s="32" t="str">
        <x:v>服务菜单</x:v>
      </x:c>
      <x:c r="C47" s="33" t="str">
        <x:v>帮产品与研发团队用 AI 更快交付，同时守住质量和安全。</x:v>
      </x:c>
      <x:c r="D47" s="37" t="n">
        <x:v>9</x:v>
      </x:c>
      <x:c r="E47" s="37" t="n">
        <x:v>8</x:v>
      </x:c>
      <x:c r="F47" s="37" t="n">
        <x:v>8</x:v>
      </x:c>
      <x:c r="G47" s="37" t="n">
        <x:v>8</x:v>
      </x:c>
      <x:c r="H47" s="37" t="n">
        <x:v>8</x:v>
      </x:c>
      <x:c r="I47" s="37" t="n">
        <x:v>8</x:v>
      </x:c>
      <x:c r="J47" s="41" t="n">
        <x:f>IF(COUNT(D47:I47)=0,"",SUMPRODUCT(D47:I47,$D$5:$I$5)/SUM($D$5:$I$5))</x:f>
        <x:v>8.200000000000001</x:v>
      </x:c>
      <x:c r="K47" s="42" t="n">
        <x:f>IF(J47="","",RANK(J47,$J$10:$J$59,0))</x:f>
        <x:v>32</x:v>
      </x:c>
      <x:c r="L47" s="33" t="str">
        <x:v>CTO 容易理解</x:v>
      </x:c>
      <x:c r="M47" s="33" t="str">
        <x:v>更像研发咨询</x:v>
      </x:c>
      <x:c r="N47" s="33" t="str"/>
    </x:row>
    <x:row r="48" ht="42" customHeight="1">
      <x:c r="A48" s="32" t="n">
        <x:v>39</x:v>
      </x:c>
      <x:c r="B48" s="32" t="str">
        <x:v>服务菜单</x:v>
      </x:c>
      <x:c r="C48" s="33" t="str">
        <x:v>企业 AI 资产中枢：让数据、知识、Skills 和产出持续复用。</x:v>
      </x:c>
      <x:c r="D48" s="37" t="n">
        <x:v>8</x:v>
      </x:c>
      <x:c r="E48" s="37" t="n">
        <x:v>7</x:v>
      </x:c>
      <x:c r="F48" s="37" t="n">
        <x:v>9</x:v>
      </x:c>
      <x:c r="G48" s="37" t="n">
        <x:v>8</x:v>
      </x:c>
      <x:c r="H48" s="37" t="n">
        <x:v>8</x:v>
      </x:c>
      <x:c r="I48" s="37" t="n">
        <x:v>7</x:v>
      </x:c>
      <x:c r="J48" s="41" t="n">
        <x:f>IF(COUNT(D48:I48)=0,"",SUMPRODUCT(D48:I48,$D$5:$I$5)/SUM($D$5:$I$5))</x:f>
        <x:v>7.800000000000001</x:v>
      </x:c>
      <x:c r="K48" s="42" t="n">
        <x:f>IF(J48="","",RANK(J48,$J$10:$J$59,0))</x:f>
        <x:v>45</x:v>
      </x:c>
      <x:c r="L48" s="33" t="str">
        <x:v>产品方向鲜明</x:v>
      </x:c>
      <x:c r="M48" s="33" t="str">
        <x:v>客户成熟度要求较高</x:v>
      </x:c>
      <x:c r="N48" s="33" t="str"/>
    </x:row>
    <x:row r="49" ht="42" customHeight="1">
      <x:c r="A49" s="32" t="n">
        <x:v>40</x:v>
      </x:c>
      <x:c r="B49" s="32" t="str">
        <x:v>服务菜单</x:v>
      </x:c>
      <x:c r="C49" s="33" t="str">
        <x:v>企业品牌 Agent、数字员工与 AI 工作流程定制交付。</x:v>
      </x:c>
      <x:c r="D49" s="37" t="n">
        <x:v>9</x:v>
      </x:c>
      <x:c r="E49" s="37" t="n">
        <x:v>8</x:v>
      </x:c>
      <x:c r="F49" s="37" t="n">
        <x:v>7</x:v>
      </x:c>
      <x:c r="G49" s="37" t="n">
        <x:v>7</x:v>
      </x:c>
      <x:c r="H49" s="37" t="n">
        <x:v>7</x:v>
      </x:c>
      <x:c r="I49" s="37" t="n">
        <x:v>7</x:v>
      </x:c>
      <x:c r="J49" s="41" t="n">
        <x:f>IF(COUNT(D49:I49)=0,"",SUMPRODUCT(D49:I49,$D$5:$I$5)/SUM($D$5:$I$5))</x:f>
        <x:v>7.6499999999999995</x:v>
      </x:c>
      <x:c r="K49" s="42" t="n">
        <x:f>IF(J49="","",RANK(J49,$J$10:$J$59,0))</x:f>
        <x:v>48</x:v>
      </x:c>
      <x:c r="L49" s="33" t="str">
        <x:v>商业意图明确</x:v>
      </x:c>
      <x:c r="M49" s="33" t="str">
        <x:v>容易被当成外包开发</x:v>
      </x:c>
      <x:c r="N49" s="33" t="str"/>
    </x:row>
    <x:row r="50" ht="42" customHeight="1">
      <x:c r="A50" s="32" t="n">
        <x:v>41</x:v>
      </x:c>
      <x:c r="B50" s="32" t="str">
        <x:v>观点品牌</x:v>
      </x:c>
      <x:c r="C50" s="33" t="str">
        <x:v>AI 负责执行，人负责判断、验收和授权。</x:v>
      </x:c>
      <x:c r="D50" s="37" t="n">
        <x:v>8</x:v>
      </x:c>
      <x:c r="E50" s="37" t="n">
        <x:v>6</x:v>
      </x:c>
      <x:c r="F50" s="37" t="n">
        <x:v>9</x:v>
      </x:c>
      <x:c r="G50" s="37" t="n">
        <x:v>8</x:v>
      </x:c>
      <x:c r="H50" s="37" t="n">
        <x:v>10</x:v>
      </x:c>
      <x:c r="I50" s="37" t="n">
        <x:v>10</x:v>
      </x:c>
      <x:c r="J50" s="41" t="n">
        <x:f>IF(COUNT(D50:I50)=0,"",SUMPRODUCT(D50:I50,$D$5:$I$5)/SUM($D$5:$I$5))</x:f>
        <x:v>8.15</x:v>
      </x:c>
      <x:c r="K50" s="42" t="n">
        <x:f>IF(J50="","",RANK(J50,$J$10:$J$59,0))</x:f>
        <x:v>33</x:v>
      </x:c>
      <x:c r="L50" s="33" t="str">
        <x:v>极简、有思想性</x:v>
      </x:c>
      <x:c r="M50" s="33" t="str">
        <x:v>基本没有介绍服务</x:v>
      </x:c>
      <x:c r="N50" s="33" t="str"/>
    </x:row>
    <x:row r="51" ht="42" customHeight="1">
      <x:c r="A51" s="32" t="n">
        <x:v>42</x:v>
      </x:c>
      <x:c r="B51" s="32" t="str">
        <x:v>观点品牌</x:v>
      </x:c>
      <x:c r="C51" s="33" t="str">
        <x:v>从一个真实场景开始，用业务结果决定下一步。</x:v>
      </x:c>
      <x:c r="D51" s="37" t="n">
        <x:v>8</x:v>
      </x:c>
      <x:c r="E51" s="37" t="n">
        <x:v>7</x:v>
      </x:c>
      <x:c r="F51" s="37" t="n">
        <x:v>8</x:v>
      </x:c>
      <x:c r="G51" s="37" t="n">
        <x:v>9</x:v>
      </x:c>
      <x:c r="H51" s="37" t="n">
        <x:v>10</x:v>
      </x:c>
      <x:c r="I51" s="37" t="n">
        <x:v>10</x:v>
      </x:c>
      <x:c r="J51" s="41" t="n">
        <x:f>IF(COUNT(D51:I51)=0,"",SUMPRODUCT(D51:I51,$D$5:$I$5)/SUM($D$5:$I$5))</x:f>
        <x:v>8.399999999999999</x:v>
      </x:c>
      <x:c r="K51" s="42" t="n">
        <x:f>IF(J51="","",RANK(J51,$J$10:$J$59,0))</x:f>
        <x:v>18</x:v>
      </x:c>
      <x:c r="L51" s="33" t="str">
        <x:v>高级、克制、可信</x:v>
      </x:c>
      <x:c r="M51" s="33" t="str">
        <x:v>获客关键词不足</x:v>
      </x:c>
      <x:c r="N51" s="33" t="str"/>
    </x:row>
    <x:row r="52" ht="42" customHeight="1">
      <x:c r="A52" s="32" t="n">
        <x:v>43</x:v>
      </x:c>
      <x:c r="B52" s="32" t="str">
        <x:v>观点品牌</x:v>
      </x:c>
      <x:c r="C52" s="33" t="str">
        <x:v>先让 AI 工作过程可见，再让业务结果可验。</x:v>
      </x:c>
      <x:c r="D52" s="37" t="n">
        <x:v>8</x:v>
      </x:c>
      <x:c r="E52" s="37" t="n">
        <x:v>7</x:v>
      </x:c>
      <x:c r="F52" s="37" t="n">
        <x:v>9</x:v>
      </x:c>
      <x:c r="G52" s="37" t="n">
        <x:v>8</x:v>
      </x:c>
      <x:c r="H52" s="37" t="n">
        <x:v>10</x:v>
      </x:c>
      <x:c r="I52" s="37" t="n">
        <x:v>9</x:v>
      </x:c>
      <x:c r="J52" s="41" t="n">
        <x:f>IF(COUNT(D52:I52)=0,"",SUMPRODUCT(D52:I52,$D$5:$I$5)/SUM($D$5:$I$5))</x:f>
        <x:v>8.3</x:v>
      </x:c>
      <x:c r="K52" s="42" t="n">
        <x:f>IF(J52="","",RANK(J52,$J$10:$J$59,0))</x:f>
        <x:v>25</x:v>
      </x:c>
      <x:c r="L52" s="33" t="str">
        <x:v>方法论辨识度高</x:v>
      </x:c>
      <x:c r="M52" s="33" t="str">
        <x:v>初看略抽象</x:v>
      </x:c>
      <x:c r="N52" s="33" t="str"/>
    </x:row>
    <x:row r="53" ht="42" customHeight="1">
      <x:c r="A53" s="32" t="n">
        <x:v>44</x:v>
      </x:c>
      <x:c r="B53" s="32" t="str">
        <x:v>观点品牌</x:v>
      </x:c>
      <x:c r="C53" s="33" t="str">
        <x:v>不预测 AI 的未来，只把它放进今天的业务。</x:v>
      </x:c>
      <x:c r="D53" s="37" t="n">
        <x:v>8</x:v>
      </x:c>
      <x:c r="E53" s="37" t="n">
        <x:v>7</x:v>
      </x:c>
      <x:c r="F53" s="37" t="n">
        <x:v>10</x:v>
      </x:c>
      <x:c r="G53" s="37" t="n">
        <x:v>8</x:v>
      </x:c>
      <x:c r="H53" s="37" t="n">
        <x:v>9</x:v>
      </x:c>
      <x:c r="I53" s="37" t="n">
        <x:v>10</x:v>
      </x:c>
      <x:c r="J53" s="41" t="n">
        <x:f>IF(COUNT(D53:I53)=0,"",SUMPRODUCT(D53:I53,$D$5:$I$5)/SUM($D$5:$I$5))</x:f>
        <x:v>8.399999999999999</x:v>
      </x:c>
      <x:c r="K53" s="42" t="n">
        <x:f>IF(J53="","",RANK(J53,$J$10:$J$59,0))</x:f>
        <x:v>18</x:v>
      </x:c>
      <x:c r="L53" s="33" t="str">
        <x:v>记忆点非常强</x:v>
      </x:c>
      <x:c r="M53" s="33" t="str">
        <x:v>没直接说明服务类别</x:v>
      </x:c>
      <x:c r="N53" s="33" t="str"/>
    </x:row>
    <x:row r="54" ht="42" customHeight="1">
      <x:c r="A54" s="32" t="n">
        <x:v>45</x:v>
      </x:c>
      <x:c r="B54" s="32" t="str">
        <x:v>观点品牌</x:v>
      </x:c>
      <x:c r="C54" s="33" t="str">
        <x:v>不追逐每一个 AI 工具，只部署真正值得运行的工作流程。</x:v>
      </x:c>
      <x:c r="D54" s="37" t="n">
        <x:v>8</x:v>
      </x:c>
      <x:c r="E54" s="37" t="n">
        <x:v>7</x:v>
      </x:c>
      <x:c r="F54" s="37" t="n">
        <x:v>9</x:v>
      </x:c>
      <x:c r="G54" s="37" t="n">
        <x:v>8</x:v>
      </x:c>
      <x:c r="H54" s="37" t="n">
        <x:v>9</x:v>
      </x:c>
      <x:c r="I54" s="37" t="n">
        <x:v>8</x:v>
      </x:c>
      <x:c r="J54" s="41" t="n">
        <x:f>IF(COUNT(D54:I54)=0,"",SUMPRODUCT(D54:I54,$D$5:$I$5)/SUM($D$5:$I$5))</x:f>
        <x:v>8.05</x:v>
      </x:c>
      <x:c r="K54" s="42" t="n">
        <x:f>IF(J54="","",RANK(J54,$J$10:$J$59,0))</x:f>
        <x:v>40</x:v>
      </x:c>
      <x:c r="L54" s="33" t="str">
        <x:v>有判断、有品位</x:v>
      </x:c>
      <x:c r="M54" s="33" t="str">
        <x:v>可能显得保守</x:v>
      </x:c>
      <x:c r="N54" s="33" t="str"/>
    </x:row>
    <x:row r="55" ht="42" customHeight="1">
      <x:c r="A55" s="32" t="n">
        <x:v>46</x:v>
      </x:c>
      <x:c r="B55" s="32" t="str">
        <x:v>观点品牌</x:v>
      </x:c>
      <x:c r="C55" s="33" t="str">
        <x:v>帮企业管理 AI，而不是让员工变成更忙的 AI 操作员。</x:v>
      </x:c>
      <x:c r="D55" s="37" t="n">
        <x:v>9</x:v>
      </x:c>
      <x:c r="E55" s="37" t="n">
        <x:v>8</x:v>
      </x:c>
      <x:c r="F55" s="37" t="n">
        <x:v>10</x:v>
      </x:c>
      <x:c r="G55" s="37" t="n">
        <x:v>7</x:v>
      </x:c>
      <x:c r="H55" s="37" t="n">
        <x:v>7</x:v>
      </x:c>
      <x:c r="I55" s="37" t="n">
        <x:v>9</x:v>
      </x:c>
      <x:c r="J55" s="41" t="n">
        <x:f>IF(COUNT(D55:I55)=0,"",SUMPRODUCT(D55:I55,$D$5:$I$5)/SUM($D$5:$I$5))</x:f>
        <x:v>8.299999999999999</x:v>
      </x:c>
      <x:c r="K55" s="42" t="n">
        <x:f>IF(J55="","",RANK(J55,$J$10:$J$59,0))</x:f>
        <x:v>28</x:v>
      </x:c>
      <x:c r="L55" s="33" t="str">
        <x:v>观点锋利、适合内容号</x:v>
      </x:c>
      <x:c r="M55" s="33" t="str">
        <x:v>有一定争议性</x:v>
      </x:c>
      <x:c r="N55" s="33" t="str"/>
    </x:row>
    <x:row r="56" ht="42" customHeight="1">
      <x:c r="A56" s="32" t="n">
        <x:v>47</x:v>
      </x:c>
      <x:c r="B56" s="32" t="str">
        <x:v>观点品牌</x:v>
      </x:c>
      <x:c r="C56" s="33" t="str">
        <x:v>从超级 AI 打工人，走向可管理、可验收的 Agents 公司。</x:v>
      </x:c>
      <x:c r="D56" s="37" t="n">
        <x:v>7</x:v>
      </x:c>
      <x:c r="E56" s="37" t="n">
        <x:v>7</x:v>
      </x:c>
      <x:c r="F56" s="37" t="n">
        <x:v>9</x:v>
      </x:c>
      <x:c r="G56" s="37" t="n">
        <x:v>7</x:v>
      </x:c>
      <x:c r="H56" s="37" t="n">
        <x:v>7</x:v>
      </x:c>
      <x:c r="I56" s="37" t="n">
        <x:v>8</x:v>
      </x:c>
      <x:c r="J56" s="41" t="n">
        <x:f>IF(COUNT(D56:I56)=0,"",SUMPRODUCT(D56:I56,$D$5:$I$5)/SUM($D$5:$I$5))</x:f>
        <x:v>7.3999999999999995</x:v>
      </x:c>
      <x:c r="K56" s="42" t="n">
        <x:f>IF(J56="","",RANK(J56,$J$10:$J$59,0))</x:f>
        <x:v>50</x:v>
      </x:c>
      <x:c r="L56" s="33" t="str">
        <x:v>对个人创业者很有吸引力</x:v>
      </x:c>
      <x:c r="M56" s="33" t="str">
        <x:v>企业客户可能觉得概念化</x:v>
      </x:c>
      <x:c r="N56" s="33" t="str"/>
    </x:row>
    <x:row r="57" ht="42" customHeight="1">
      <x:c r="A57" s="32" t="n">
        <x:v>48</x:v>
      </x:c>
      <x:c r="B57" s="32" t="str">
        <x:v>观点品牌</x:v>
      </x:c>
      <x:c r="C57" s="33" t="str">
        <x:v>把个人的 AI 方法，沉淀成组织能够接管和复用的能力。</x:v>
      </x:c>
      <x:c r="D57" s="37" t="n">
        <x:v>8</x:v>
      </x:c>
      <x:c r="E57" s="37" t="n">
        <x:v>7</x:v>
      </x:c>
      <x:c r="F57" s="37" t="n">
        <x:v>8</x:v>
      </x:c>
      <x:c r="G57" s="37" t="n">
        <x:v>8</x:v>
      </x:c>
      <x:c r="H57" s="37" t="n">
        <x:v>10</x:v>
      </x:c>
      <x:c r="I57" s="37" t="n">
        <x:v>8</x:v>
      </x:c>
      <x:c r="J57" s="41" t="n">
        <x:f>IF(COUNT(D57:I57)=0,"",SUMPRODUCT(D57:I57,$D$5:$I$5)/SUM($D$5:$I$5))</x:f>
        <x:v>8.05</x:v>
      </x:c>
      <x:c r="K57" s="42" t="n">
        <x:f>IF(J57="","",RANK(J57,$J$10:$J$59,0))</x:f>
        <x:v>40</x:v>
      </x:c>
      <x:c r="L57" s="33" t="str">
        <x:v>适合中大型企业</x:v>
      </x:c>
      <x:c r="M57" s="33" t="str">
        <x:v>销售意图较弱</x:v>
      </x:c>
      <x:c r="N57" s="33" t="str"/>
    </x:row>
    <x:row r="58" ht="42" customHeight="1">
      <x:c r="A58" s="32" t="n">
        <x:v>49</x:v>
      </x:c>
      <x:c r="B58" s="32" t="str">
        <x:v>观点品牌</x:v>
      </x:c>
      <x:c r="C58" s="33" t="str">
        <x:v>AI Deployment for Real Business｜让 Agent 真正进入业务。</x:v>
      </x:c>
      <x:c r="D58" s="37" t="n">
        <x:v>8</x:v>
      </x:c>
      <x:c r="E58" s="37" t="n">
        <x:v>8</x:v>
      </x:c>
      <x:c r="F58" s="37" t="n">
        <x:v>9</x:v>
      </x:c>
      <x:c r="G58" s="37" t="n">
        <x:v>8</x:v>
      </x:c>
      <x:c r="H58" s="37" t="n">
        <x:v>8</x:v>
      </x:c>
      <x:c r="I58" s="37" t="n">
        <x:v>9</x:v>
      </x:c>
      <x:c r="J58" s="41" t="n">
        <x:f>IF(COUNT(D58:I58)=0,"",SUMPRODUCT(D58:I58,$D$5:$I$5)/SUM($D$5:$I$5))</x:f>
        <x:v>8.25</x:v>
      </x:c>
      <x:c r="K58" s="42" t="n">
        <x:f>IF(J58="","",RANK(J58,$J$10:$J$59,0))</x:f>
        <x:v>30</x:v>
      </x:c>
      <x:c r="L58" s="33" t="str">
        <x:v>双语品牌感强</x:v>
      </x:c>
      <x:c r="M58" s="33" t="str">
        <x:v>中英混排影响部分读者理解</x:v>
      </x:c>
      <x:c r="N58" s="33" t="str"/>
    </x:row>
    <x:row r="59" ht="42" customHeight="1">
      <x:c r="A59" s="32" t="n">
        <x:v>50</x:v>
      </x:c>
      <x:c r="B59" s="32" t="str">
        <x:v>观点品牌</x:v>
      </x:c>
      <x:c r="C59" s="33" t="str">
        <x:v>Kelly AI Deployment Service｜AI 落地，直到结果可以验收。</x:v>
      </x:c>
      <x:c r="D59" s="37" t="n">
        <x:v>8</x:v>
      </x:c>
      <x:c r="E59" s="37" t="n">
        <x:v>7</x:v>
      </x:c>
      <x:c r="F59" s="37" t="n">
        <x:v>9</x:v>
      </x:c>
      <x:c r="G59" s="37" t="n">
        <x:v>8</x:v>
      </x:c>
      <x:c r="H59" s="37" t="n">
        <x:v>10</x:v>
      </x:c>
      <x:c r="I59" s="37" t="n">
        <x:v>10</x:v>
      </x:c>
      <x:c r="J59" s="41" t="n">
        <x:f>IF(COUNT(D59:I59)=0,"",SUMPRODUCT(D59:I59,$D$5:$I$5)/SUM($D$5:$I$5))</x:f>
        <x:v>8.4</x:v>
      </x:c>
      <x:c r="K59" s="42" t="n">
        <x:f>IF(J59="","",RANK(J59,$J$10:$J$59,0))</x:f>
        <x:v>15</x:v>
      </x:c>
      <x:c r="L59" s="33" t="str">
        <x:v>最短、品牌感最好</x:v>
      </x:c>
      <x:c r="M59" s="33" t="str">
        <x:v>没说明服务对象和具体内容</x:v>
      </x:c>
      <x:c r="N59" s="33" t="str"/>
    </x:row>
  </x:sheetData>
  <x:conditionalFormatting sqref="D10:I59">
    <x:cfRule type="colorScale" priority="1">
      <x:colorScale>
        <x:cfvo type="num" val="0"/>
        <x:cfvo type="num" val="5"/>
        <x:cfvo type="num" val="10"/>
        <x:color rgb="FFF4CCCC"/>
        <x:color rgb="FFFFF2CC"/>
        <x:color rgb="FFD9EAD3"/>
      </x:colorScale>
    </x:cfRule>
  </x:conditionalFormatting>
  <x:conditionalFormatting sqref="J10:J59">
    <x:cfRule type="dataBar" priority="2">
      <x:dataBar>
        <x:cfvo type="num" val="0"/>
        <x:cfvo type="num" val="10"/>
        <x:color rgb="FF65745E"/>
      </x:dataBar>
      <x:extLst>
        <x:ext xmlns:x14="http://schemas.microsoft.com/office/spreadsheetml/2009/9/main" uri="{B025F937-C7B1-47D3-B67F-A62EFF666E3E}">
          <x14:id>{6BD3F39D-2666-A726-5798-15BFA8F5E4CB}</x14:id>
        </x:ext>
      </x:extLst>
    </x:cfRule>
  </x:conditionalFormatting>
  <x:conditionalFormatting sqref="K10:K59">
    <x:cfRule type="cellIs" dxfId="0" priority="3" operator="lessThanOrEqual">
      <x:formula>3</x:formula>
    </x:cfRule>
  </x:conditionalFormatting>
  <x:conditionalFormatting sqref="J5:J5">
    <x:cfRule type="cellIs" dxfId="1" priority="4" operator="notEqual">
      <x:formula>1</x:formula>
    </x:cfRule>
  </x:conditionalFormatting>
  <x:dataValidations count="2">
    <x:dataValidation type="whole" operator="between" sqref="D10:I59">
      <x:formula1>0</x:formula1>
      <x:formula2>10</x:formula2>
    </x:dataValidation>
    <x:dataValidation type="decimal" operator="between" sqref="D5:I5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e95bfd00578434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6BD3F39D-2666-A726-5798-15BFA8F5E4CB}">
            <x14:dataBar gradient="1">
              <x14:cfvo type="num">
                <xm:f>0</xm:f>
              </x14:cfvo>
              <x14:cfvo type="num">
                <xm:f>10</xm:f>
              </x14:cfvo>
              <x14:fillColor rgb="FF65745E"/>
            </x14:dataBar>
          </x14:cfRule>
          <xm:sqref>J10:J59</xm:sqref>
        </x14:conditionalFormatting>
      </x14:conditionalFormattings>
    </x:ext>
  </x:extLst>
</x:worksheet>
</file>